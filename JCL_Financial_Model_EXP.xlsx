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Divyanshu Vatsa- Management Intern\JCL Financial Model\"/>
    </mc:Choice>
  </mc:AlternateContent>
  <xr:revisionPtr revIDLastSave="0" documentId="13_ncr:1_{4CE8E714-737D-4205-AB56-B2279CA58D18}" xr6:coauthVersionLast="47" xr6:coauthVersionMax="47" xr10:uidLastSave="{00000000-0000-0000-0000-000000000000}"/>
  <bookViews>
    <workbookView xWindow="-108" yWindow="-108" windowWidth="23256" windowHeight="12456" tabRatio="500" firstSheet="19" activeTab="22" xr2:uid="{00000000-000D-0000-FFFF-FFFF00000000}"/>
  </bookViews>
  <sheets>
    <sheet name="Navigation" sheetId="24" r:id="rId1"/>
    <sheet name="Model Checks" sheetId="1" r:id="rId2"/>
    <sheet name="Scenario Engine" sheetId="2" r:id="rId3"/>
    <sheet name="Dashboard" sheetId="3" r:id="rId4"/>
    <sheet name="Historical FS" sheetId="5" r:id="rId5"/>
    <sheet name="Ratio Analysis" sheetId="6" r:id="rId6"/>
    <sheet name="Common Size Statements" sheetId="7" r:id="rId7"/>
    <sheet name="Assumptions &amp; Drivers" sheetId="8" r:id="rId8"/>
    <sheet name="The 3-Statement Projection" sheetId="9" r:id="rId9"/>
    <sheet name="WACC &amp; DCF Valuation" sheetId="10" r:id="rId10"/>
    <sheet name="Sensitivity Analysis" sheetId="11" r:id="rId11"/>
    <sheet name="Comparable Company Analysis" sheetId="12" r:id="rId12"/>
    <sheet name="Financials&gt;" sheetId="4" r:id="rId13"/>
    <sheet name="Executive Summary" sheetId="14" r:id="rId14"/>
    <sheet name="Income and Expenditure Summary" sheetId="15" r:id="rId15"/>
    <sheet name="Balance Sheet Summary" sheetId="16" r:id="rId16"/>
    <sheet name="Cash Flow Summary" sheetId="17" r:id="rId17"/>
    <sheet name="Production &amp; Offtake" sheetId="18" r:id="rId18"/>
    <sheet name="Depreciation Schedule" sheetId="19" r:id="rId19"/>
    <sheet name="Tax Working" sheetId="20" r:id="rId20"/>
    <sheet name="Debt Schedule" sheetId="21" r:id="rId21"/>
    <sheet name="Repayment Schedule" sheetId="26" r:id="rId22"/>
    <sheet name="Working Capital Schedule" sheetId="22" r:id="rId23"/>
    <sheet name="DSCR Covenant Tracker" sheetId="23" r:id="rId24"/>
  </sheets>
  <definedNames>
    <definedName name="ActiveScenario">"'Scenario Engine'!B3"</definedName>
    <definedName name="BaseWACC">"'Sensitivity Analysis'!B5"</definedName>
    <definedName name="IntrinsicValue">"'WACC &amp; DCF Valuation'!B81"</definedName>
    <definedName name="_xlnm.Print_Area" localSheetId="7">'Assumptions &amp; Drivers'!$B$1:$H$74</definedName>
    <definedName name="_xlnm.Print_Area" localSheetId="8">'The 3-Statement Projection'!$A$1:$G$106</definedName>
    <definedName name="_xlnm.Print_Area" localSheetId="9">'WACC &amp; DCF Valuation'!$A$1:$H$91</definedName>
    <definedName name="SharesOutstanding">"'WACC &amp; DCF Valuation'!B80"</definedName>
    <definedName name="TerminalGrowth">"'WACC &amp; DCF Valuation'!B56"</definedName>
    <definedName name="WACC">"'WACC &amp; DCF Valuation'!B32"</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5" i="24" l="1"/>
  <c r="E14" i="24"/>
  <c r="A58" i="11"/>
  <c r="A57" i="11"/>
  <c r="A56" i="11"/>
  <c r="A55" i="11"/>
  <c r="T14" i="7"/>
  <c r="S14" i="7"/>
  <c r="R14" i="7"/>
  <c r="Q14" i="7"/>
  <c r="P14" i="7"/>
  <c r="O14" i="7"/>
  <c r="N14" i="7"/>
  <c r="T12" i="7"/>
  <c r="S12" i="7"/>
  <c r="R12" i="7"/>
  <c r="Q12" i="7"/>
  <c r="P12" i="7"/>
  <c r="O12" i="7"/>
  <c r="N12" i="7"/>
  <c r="T11" i="7"/>
  <c r="S11" i="7"/>
  <c r="R11" i="7"/>
  <c r="Q11" i="7"/>
  <c r="P11" i="7"/>
  <c r="O11" i="7"/>
  <c r="N11" i="7"/>
  <c r="T10" i="7"/>
  <c r="S10" i="7"/>
  <c r="R10" i="7"/>
  <c r="Q10" i="7"/>
  <c r="P10" i="7"/>
  <c r="O10" i="7"/>
  <c r="N10" i="7"/>
  <c r="T9" i="7"/>
  <c r="S9" i="7"/>
  <c r="R9" i="7"/>
  <c r="Q9" i="7"/>
  <c r="P9" i="7"/>
  <c r="O9" i="7"/>
  <c r="N9" i="7"/>
  <c r="T8" i="7"/>
  <c r="S8" i="7"/>
  <c r="R8" i="7"/>
  <c r="Q8" i="7"/>
  <c r="P8" i="7"/>
  <c r="O8" i="7"/>
  <c r="N8" i="7"/>
  <c r="T7" i="7"/>
  <c r="S7" i="7"/>
  <c r="R7" i="7"/>
  <c r="Q7" i="7"/>
  <c r="P7" i="7"/>
  <c r="O7" i="7"/>
  <c r="N7" i="7"/>
  <c r="T6" i="7"/>
  <c r="S6" i="7"/>
  <c r="R6" i="7"/>
  <c r="Q6" i="7"/>
  <c r="P6" i="7"/>
  <c r="O6" i="7"/>
  <c r="N6" i="7"/>
  <c r="T5" i="7"/>
  <c r="S5" i="7"/>
  <c r="R5" i="7"/>
  <c r="Q5" i="7"/>
  <c r="P5" i="7"/>
  <c r="O5" i="7"/>
  <c r="N5" i="7"/>
  <c r="M14" i="7"/>
  <c r="M12" i="7"/>
  <c r="M11" i="7"/>
  <c r="M10" i="7"/>
  <c r="M9" i="7"/>
  <c r="M8" i="7"/>
  <c r="M7" i="7"/>
  <c r="M6" i="7"/>
  <c r="M5" i="7"/>
  <c r="T3" i="7"/>
  <c r="S3" i="7"/>
  <c r="R3" i="7"/>
  <c r="Q3" i="7"/>
  <c r="P3" i="7"/>
  <c r="O3" i="7"/>
  <c r="N3" i="7"/>
  <c r="M3" i="7"/>
  <c r="C30" i="23"/>
  <c r="C29" i="23"/>
  <c r="K28" i="23"/>
  <c r="J28" i="23"/>
  <c r="I28" i="23"/>
  <c r="H28" i="23"/>
  <c r="G28" i="23"/>
  <c r="F28" i="23"/>
  <c r="E28" i="23"/>
  <c r="D28" i="23"/>
  <c r="C28" i="23"/>
  <c r="C27" i="23"/>
  <c r="C26" i="23"/>
  <c r="L92" i="5"/>
  <c r="L31" i="19"/>
  <c r="K31" i="19"/>
  <c r="J31" i="19"/>
  <c r="I31" i="19"/>
  <c r="H31" i="19"/>
  <c r="G31" i="19"/>
  <c r="F31" i="19"/>
  <c r="E31" i="19"/>
  <c r="D31" i="19"/>
  <c r="L19" i="19"/>
  <c r="K19" i="19"/>
  <c r="J19" i="19"/>
  <c r="I19" i="19"/>
  <c r="H19" i="19"/>
  <c r="G19" i="19"/>
  <c r="F19" i="19"/>
  <c r="E19" i="19"/>
  <c r="D19" i="19"/>
  <c r="L18" i="19"/>
  <c r="K18" i="19"/>
  <c r="J18" i="19"/>
  <c r="I18" i="19"/>
  <c r="H18" i="19"/>
  <c r="G18" i="19"/>
  <c r="F18" i="19"/>
  <c r="E18" i="19"/>
  <c r="D18" i="19"/>
  <c r="L16" i="19"/>
  <c r="K16" i="19"/>
  <c r="J16" i="19"/>
  <c r="I16" i="19"/>
  <c r="H16" i="19"/>
  <c r="G16" i="19"/>
  <c r="F16" i="19"/>
  <c r="E16" i="19"/>
  <c r="D16" i="19"/>
  <c r="D19" i="21"/>
  <c r="L15" i="21"/>
  <c r="K15" i="21"/>
  <c r="J15" i="21"/>
  <c r="I15" i="21"/>
  <c r="H15" i="21"/>
  <c r="G15" i="21"/>
  <c r="F15" i="21"/>
  <c r="E15" i="21"/>
  <c r="D15" i="21"/>
  <c r="L9" i="21"/>
  <c r="K9" i="21"/>
  <c r="J9" i="21"/>
  <c r="I9" i="21"/>
  <c r="H9" i="21"/>
  <c r="G9" i="21"/>
  <c r="F9" i="21"/>
  <c r="E9" i="21"/>
  <c r="D9" i="21"/>
  <c r="E60" i="9"/>
  <c r="D60" i="9"/>
  <c r="B48" i="9"/>
  <c r="B39" i="9"/>
  <c r="B20" i="9"/>
  <c r="L58" i="8"/>
  <c r="K58" i="8"/>
  <c r="J58" i="8"/>
  <c r="I58" i="8"/>
  <c r="H58" i="8"/>
  <c r="G58" i="8"/>
  <c r="F58" i="8"/>
  <c r="E58" i="8"/>
  <c r="D58" i="8"/>
  <c r="L74" i="8"/>
  <c r="K74" i="8"/>
  <c r="J74" i="8"/>
  <c r="I74" i="8"/>
  <c r="H74" i="8"/>
  <c r="G74" i="8"/>
  <c r="F74" i="8"/>
  <c r="E74" i="8"/>
  <c r="B148" i="10"/>
  <c r="B108" i="10"/>
  <c r="F53" i="3" s="1"/>
  <c r="B80" i="10"/>
  <c r="B26" i="10"/>
  <c r="B17" i="10"/>
  <c r="B15" i="10"/>
  <c r="B8" i="10"/>
  <c r="B7" i="10"/>
  <c r="I133" i="3"/>
  <c r="H133" i="3"/>
  <c r="G133" i="3"/>
  <c r="F133" i="3"/>
  <c r="E133" i="3"/>
  <c r="D133" i="3"/>
  <c r="C133" i="3"/>
  <c r="B79" i="2"/>
  <c r="B78" i="2"/>
  <c r="B77" i="2"/>
  <c r="B76" i="2"/>
  <c r="D71" i="8"/>
  <c r="D17" i="8"/>
  <c r="D13" i="8"/>
  <c r="E48" i="9"/>
  <c r="F48" i="9" s="1"/>
  <c r="G48" i="9" s="1"/>
  <c r="H48" i="9" s="1"/>
  <c r="I48" i="9" s="1"/>
  <c r="J48" i="9" s="1"/>
  <c r="K48" i="9" s="1"/>
  <c r="K6" i="26"/>
  <c r="J6" i="26"/>
  <c r="I6" i="26"/>
  <c r="H6" i="26"/>
  <c r="G6" i="26"/>
  <c r="F6" i="26"/>
  <c r="E6" i="26"/>
  <c r="D6" i="26"/>
  <c r="D11" i="26" s="1"/>
  <c r="C6" i="26"/>
  <c r="K20" i="9"/>
  <c r="J20" i="9"/>
  <c r="I20" i="9"/>
  <c r="H20" i="9"/>
  <c r="G20" i="9"/>
  <c r="F20" i="9"/>
  <c r="E20" i="9"/>
  <c r="D20" i="9"/>
  <c r="B17" i="12"/>
  <c r="E11" i="12"/>
  <c r="E10" i="12"/>
  <c r="E9" i="12"/>
  <c r="E11" i="26" l="1"/>
  <c r="F11" i="26" s="1"/>
  <c r="G11" i="26" s="1"/>
  <c r="H11" i="26" s="1"/>
  <c r="I11" i="26" s="1"/>
  <c r="J11" i="26" s="1"/>
  <c r="K11" i="26" s="1"/>
  <c r="B1" i="3"/>
  <c r="K15" i="23"/>
  <c r="J15" i="23"/>
  <c r="I15" i="23"/>
  <c r="H15" i="23"/>
  <c r="K117" i="10"/>
  <c r="J117" i="10"/>
  <c r="I117" i="10"/>
  <c r="H117" i="10"/>
  <c r="L98" i="8"/>
  <c r="L30" i="18" s="1"/>
  <c r="L96" i="8"/>
  <c r="L28" i="18" s="1"/>
  <c r="L94" i="8"/>
  <c r="L24" i="18" s="1"/>
  <c r="L92" i="8"/>
  <c r="L22" i="18" s="1"/>
  <c r="L86" i="8"/>
  <c r="L9" i="18" s="1"/>
  <c r="L84" i="8"/>
  <c r="L12" i="18" s="1"/>
  <c r="L83" i="8"/>
  <c r="L8" i="18" s="1"/>
  <c r="K98" i="8"/>
  <c r="K30" i="18" s="1"/>
  <c r="K96" i="8"/>
  <c r="K28" i="18" s="1"/>
  <c r="K94" i="8"/>
  <c r="K24" i="18" s="1"/>
  <c r="K92" i="8"/>
  <c r="K22" i="18" s="1"/>
  <c r="K86" i="8"/>
  <c r="K9" i="18" s="1"/>
  <c r="K84" i="8"/>
  <c r="K12" i="18" s="1"/>
  <c r="K83" i="8"/>
  <c r="K8" i="18" s="1"/>
  <c r="J98" i="8"/>
  <c r="J30" i="18" s="1"/>
  <c r="J96" i="8"/>
  <c r="J28" i="18" s="1"/>
  <c r="J94" i="8"/>
  <c r="J24" i="18" s="1"/>
  <c r="J92" i="8"/>
  <c r="J22" i="18" s="1"/>
  <c r="J86" i="8"/>
  <c r="J9" i="18" s="1"/>
  <c r="J84" i="8"/>
  <c r="J12" i="18" s="1"/>
  <c r="J83" i="8"/>
  <c r="J8" i="18" s="1"/>
  <c r="I98" i="8"/>
  <c r="I30" i="18" s="1"/>
  <c r="I96" i="8"/>
  <c r="I28" i="18" s="1"/>
  <c r="I94" i="8"/>
  <c r="I24" i="18" s="1"/>
  <c r="I92" i="8"/>
  <c r="I22" i="18" s="1"/>
  <c r="I86" i="8"/>
  <c r="I9" i="18" s="1"/>
  <c r="I84" i="8"/>
  <c r="I12" i="18" s="1"/>
  <c r="I83" i="8"/>
  <c r="I8" i="18" s="1"/>
  <c r="L71" i="8"/>
  <c r="L69" i="8"/>
  <c r="L53" i="8"/>
  <c r="L8" i="22" s="1"/>
  <c r="L19" i="8"/>
  <c r="L17" i="8"/>
  <c r="L16" i="8"/>
  <c r="L14" i="3" s="1"/>
  <c r="L15" i="8"/>
  <c r="L13" i="3" s="1"/>
  <c r="K71" i="8"/>
  <c r="K69" i="8"/>
  <c r="K53" i="8"/>
  <c r="K8" i="22" s="1"/>
  <c r="K19" i="8"/>
  <c r="K17" i="8"/>
  <c r="K16" i="8"/>
  <c r="K14" i="3" s="1"/>
  <c r="K15" i="8"/>
  <c r="K13" i="3" s="1"/>
  <c r="J71" i="8"/>
  <c r="J69" i="8"/>
  <c r="J53" i="8"/>
  <c r="J8" i="22" s="1"/>
  <c r="J19" i="8"/>
  <c r="J17" i="8"/>
  <c r="J16" i="8"/>
  <c r="J14" i="3" s="1"/>
  <c r="J15" i="8"/>
  <c r="J13" i="3" s="1"/>
  <c r="I71" i="8"/>
  <c r="I69" i="8"/>
  <c r="I53" i="8"/>
  <c r="I8" i="22" s="1"/>
  <c r="I19" i="8"/>
  <c r="I17" i="8"/>
  <c r="I16" i="8"/>
  <c r="I14" i="3" s="1"/>
  <c r="I15" i="8"/>
  <c r="I13" i="3" s="1"/>
  <c r="D20" i="19"/>
  <c r="C156" i="10"/>
  <c r="B156" i="10"/>
  <c r="B124" i="10"/>
  <c r="G117" i="10"/>
  <c r="F117" i="10"/>
  <c r="E117" i="10"/>
  <c r="D117" i="10"/>
  <c r="C117" i="10"/>
  <c r="B110" i="10"/>
  <c r="D110" i="8"/>
  <c r="C19" i="21"/>
  <c r="C14" i="21"/>
  <c r="C8" i="21"/>
  <c r="C7" i="21"/>
  <c r="C6" i="21"/>
  <c r="B5" i="26" s="1"/>
  <c r="C30" i="20"/>
  <c r="D28" i="20" s="1"/>
  <c r="E29" i="19"/>
  <c r="F29" i="19" s="1"/>
  <c r="G29" i="19" s="1"/>
  <c r="H29" i="19" s="1"/>
  <c r="I29" i="19" s="1"/>
  <c r="J29" i="19" s="1"/>
  <c r="K29" i="19" s="1"/>
  <c r="L29" i="19" s="1"/>
  <c r="E28" i="19"/>
  <c r="F28" i="19" s="1"/>
  <c r="G28" i="19" s="1"/>
  <c r="H28" i="19" s="1"/>
  <c r="I28" i="19" s="1"/>
  <c r="J28" i="19" s="1"/>
  <c r="K28" i="19" s="1"/>
  <c r="L28" i="19" s="1"/>
  <c r="E26" i="19"/>
  <c r="D11" i="19"/>
  <c r="E10" i="19"/>
  <c r="F10" i="19" s="1"/>
  <c r="F20" i="19" s="1"/>
  <c r="E9" i="19"/>
  <c r="F9" i="19" s="1"/>
  <c r="E8" i="19"/>
  <c r="E6" i="19"/>
  <c r="C17" i="18"/>
  <c r="C19" i="18" s="1"/>
  <c r="C10" i="18"/>
  <c r="B128" i="14"/>
  <c r="B124" i="14"/>
  <c r="B122" i="14"/>
  <c r="B120" i="14"/>
  <c r="B116" i="14"/>
  <c r="B37" i="12"/>
  <c r="D37" i="12" s="1"/>
  <c r="E7" i="12"/>
  <c r="G7" i="12" s="1"/>
  <c r="B16" i="12" s="1"/>
  <c r="B74" i="10"/>
  <c r="B34" i="12" s="1"/>
  <c r="C34" i="12" s="1"/>
  <c r="B56" i="10"/>
  <c r="B104" i="14" s="1"/>
  <c r="B29" i="10"/>
  <c r="B9" i="10"/>
  <c r="B20" i="10" s="1"/>
  <c r="B21" i="10" s="1"/>
  <c r="C110" i="9"/>
  <c r="C39" i="9"/>
  <c r="B81" i="14" s="1"/>
  <c r="H98" i="8"/>
  <c r="H30" i="18" s="1"/>
  <c r="G98" i="8"/>
  <c r="G30" i="18" s="1"/>
  <c r="F98" i="8"/>
  <c r="F30" i="18" s="1"/>
  <c r="E98" i="8"/>
  <c r="E30" i="18" s="1"/>
  <c r="D98" i="8"/>
  <c r="D30" i="18" s="1"/>
  <c r="H96" i="8"/>
  <c r="H28" i="18" s="1"/>
  <c r="G96" i="8"/>
  <c r="G28" i="18" s="1"/>
  <c r="F96" i="8"/>
  <c r="F28" i="18" s="1"/>
  <c r="E96" i="8"/>
  <c r="E28" i="18" s="1"/>
  <c r="D96" i="8"/>
  <c r="D28" i="18" s="1"/>
  <c r="H94" i="8"/>
  <c r="H24" i="18" s="1"/>
  <c r="G94" i="8"/>
  <c r="G24" i="18" s="1"/>
  <c r="F94" i="8"/>
  <c r="F24" i="18" s="1"/>
  <c r="E94" i="8"/>
  <c r="E24" i="18" s="1"/>
  <c r="D94" i="8"/>
  <c r="D24" i="18" s="1"/>
  <c r="H92" i="8"/>
  <c r="H22" i="18" s="1"/>
  <c r="G92" i="8"/>
  <c r="G22" i="18" s="1"/>
  <c r="F92" i="8"/>
  <c r="F22" i="18" s="1"/>
  <c r="E92" i="8"/>
  <c r="E22" i="18" s="1"/>
  <c r="D92" i="8"/>
  <c r="D22" i="18" s="1"/>
  <c r="D90" i="8"/>
  <c r="D18" i="18" s="1"/>
  <c r="H87" i="8"/>
  <c r="I87" i="8" s="1"/>
  <c r="I13" i="18" s="1"/>
  <c r="G87" i="8"/>
  <c r="F87" i="8"/>
  <c r="F13" i="18" s="1"/>
  <c r="E87" i="8"/>
  <c r="E13" i="18" s="1"/>
  <c r="D87" i="8"/>
  <c r="D13" i="18" s="1"/>
  <c r="H86" i="8"/>
  <c r="H9" i="18" s="1"/>
  <c r="G86" i="8"/>
  <c r="G9" i="18" s="1"/>
  <c r="F86" i="8"/>
  <c r="F9" i="18" s="1"/>
  <c r="E86" i="8"/>
  <c r="D86" i="8"/>
  <c r="D9" i="18" s="1"/>
  <c r="H84" i="8"/>
  <c r="H12" i="18" s="1"/>
  <c r="G84" i="8"/>
  <c r="G12" i="18" s="1"/>
  <c r="F84" i="8"/>
  <c r="F12" i="18" s="1"/>
  <c r="E84" i="8"/>
  <c r="E12" i="18" s="1"/>
  <c r="D84" i="8"/>
  <c r="D12" i="18" s="1"/>
  <c r="H83" i="8"/>
  <c r="G83" i="8"/>
  <c r="G8" i="18" s="1"/>
  <c r="F83" i="8"/>
  <c r="F8" i="18" s="1"/>
  <c r="E83" i="8"/>
  <c r="E8" i="18" s="1"/>
  <c r="D83" i="8"/>
  <c r="H71" i="8"/>
  <c r="G71" i="8"/>
  <c r="F71" i="8"/>
  <c r="E71" i="8"/>
  <c r="B127" i="14"/>
  <c r="H69" i="8"/>
  <c r="G69" i="8"/>
  <c r="F69" i="8"/>
  <c r="E69" i="8"/>
  <c r="D69" i="8"/>
  <c r="B126" i="14" s="1"/>
  <c r="B125" i="14"/>
  <c r="H53" i="8"/>
  <c r="H8" i="22" s="1"/>
  <c r="G53" i="8"/>
  <c r="G8" i="22" s="1"/>
  <c r="F53" i="8"/>
  <c r="F8" i="22" s="1"/>
  <c r="E53" i="8"/>
  <c r="E8" i="22" s="1"/>
  <c r="D53" i="8"/>
  <c r="D8" i="22" s="1"/>
  <c r="D51" i="8"/>
  <c r="D7" i="22" s="1"/>
  <c r="D49" i="8"/>
  <c r="E49" i="8" s="1"/>
  <c r="H19" i="8"/>
  <c r="G19" i="8"/>
  <c r="F19" i="8"/>
  <c r="E19" i="8"/>
  <c r="D19" i="8"/>
  <c r="H17" i="8"/>
  <c r="G17" i="8"/>
  <c r="F17" i="8"/>
  <c r="E17" i="8"/>
  <c r="H16" i="8"/>
  <c r="H14" i="3" s="1"/>
  <c r="G16" i="8"/>
  <c r="G14" i="3" s="1"/>
  <c r="F16" i="8"/>
  <c r="F14" i="3" s="1"/>
  <c r="E16" i="8"/>
  <c r="E14" i="3" s="1"/>
  <c r="D16" i="8"/>
  <c r="D14" i="3" s="1"/>
  <c r="H15" i="8"/>
  <c r="H13" i="3" s="1"/>
  <c r="G15" i="8"/>
  <c r="G13" i="3" s="1"/>
  <c r="F15" i="8"/>
  <c r="F13" i="3" s="1"/>
  <c r="E15" i="8"/>
  <c r="E13" i="3" s="1"/>
  <c r="D15" i="8"/>
  <c r="D13" i="3" s="1"/>
  <c r="B123" i="14"/>
  <c r="H6" i="8"/>
  <c r="L6" i="8" s="1"/>
  <c r="G6" i="8"/>
  <c r="K6" i="8" s="1"/>
  <c r="F6" i="8"/>
  <c r="J6" i="8" s="1"/>
  <c r="E6" i="8"/>
  <c r="I6" i="8" s="1"/>
  <c r="B50" i="7"/>
  <c r="B49" i="7"/>
  <c r="B48" i="7"/>
  <c r="B47" i="7"/>
  <c r="B46" i="7"/>
  <c r="B45" i="7"/>
  <c r="B44" i="7"/>
  <c r="B43" i="7"/>
  <c r="B42" i="7"/>
  <c r="B41" i="7"/>
  <c r="B40" i="7"/>
  <c r="B39" i="7"/>
  <c r="B38" i="7"/>
  <c r="B35" i="7"/>
  <c r="B34" i="7"/>
  <c r="B33" i="7"/>
  <c r="B32" i="7"/>
  <c r="B31" i="7"/>
  <c r="B30" i="7"/>
  <c r="B29" i="7"/>
  <c r="B28" i="7"/>
  <c r="B27" i="7"/>
  <c r="B26" i="7"/>
  <c r="B25" i="7"/>
  <c r="B24" i="7"/>
  <c r="B23" i="7"/>
  <c r="B20" i="7"/>
  <c r="B18" i="7"/>
  <c r="B17" i="7"/>
  <c r="B16" i="7"/>
  <c r="B15" i="7"/>
  <c r="B13" i="7"/>
  <c r="B12" i="7"/>
  <c r="B11" i="7"/>
  <c r="B10" i="7"/>
  <c r="B9" i="7"/>
  <c r="B8" i="7"/>
  <c r="B7" i="7"/>
  <c r="B6" i="7"/>
  <c r="B5" i="7"/>
  <c r="B4" i="7"/>
  <c r="B3" i="7"/>
  <c r="B2" i="7"/>
  <c r="C6" i="6"/>
  <c r="B3" i="6"/>
  <c r="B2" i="6"/>
  <c r="L93" i="5"/>
  <c r="K93" i="5"/>
  <c r="J93" i="5"/>
  <c r="I93" i="5"/>
  <c r="H93" i="5"/>
  <c r="G93" i="5"/>
  <c r="F93" i="5"/>
  <c r="E93" i="5"/>
  <c r="D93" i="5"/>
  <c r="C93" i="5"/>
  <c r="L91" i="5"/>
  <c r="K91" i="5"/>
  <c r="J91" i="5"/>
  <c r="I91" i="5"/>
  <c r="J140" i="5" s="1"/>
  <c r="H91" i="5"/>
  <c r="I140" i="5" s="1"/>
  <c r="G91" i="5"/>
  <c r="F91" i="5"/>
  <c r="E91" i="5"/>
  <c r="F140" i="5" s="1"/>
  <c r="D91" i="5"/>
  <c r="C91" i="5"/>
  <c r="L90" i="5"/>
  <c r="K90" i="5"/>
  <c r="J90" i="5"/>
  <c r="I90" i="5"/>
  <c r="H90" i="5"/>
  <c r="G90" i="5"/>
  <c r="F90" i="5"/>
  <c r="E90" i="5"/>
  <c r="D90" i="5"/>
  <c r="C90" i="5"/>
  <c r="L89" i="5"/>
  <c r="K89" i="5"/>
  <c r="J89" i="5"/>
  <c r="I89" i="5"/>
  <c r="H89" i="5"/>
  <c r="G89" i="5"/>
  <c r="F89" i="5"/>
  <c r="E89" i="5"/>
  <c r="D89" i="5"/>
  <c r="C89" i="5"/>
  <c r="L84" i="5"/>
  <c r="K84" i="5"/>
  <c r="J84" i="5"/>
  <c r="I84" i="5"/>
  <c r="H84" i="5"/>
  <c r="G84" i="5"/>
  <c r="F84" i="5"/>
  <c r="E84" i="5"/>
  <c r="D84" i="5"/>
  <c r="C84" i="5"/>
  <c r="L83" i="5"/>
  <c r="K83" i="5"/>
  <c r="J83" i="5"/>
  <c r="I83" i="5"/>
  <c r="H83" i="5"/>
  <c r="G83" i="5"/>
  <c r="F83" i="5"/>
  <c r="E83" i="5"/>
  <c r="D83" i="5"/>
  <c r="C83" i="5"/>
  <c r="L82" i="5"/>
  <c r="K82" i="5"/>
  <c r="J82" i="5"/>
  <c r="I82" i="5"/>
  <c r="H82" i="5"/>
  <c r="G82" i="5"/>
  <c r="F82" i="5"/>
  <c r="E82" i="5"/>
  <c r="D82" i="5"/>
  <c r="C82" i="5"/>
  <c r="L81" i="5"/>
  <c r="K81" i="5"/>
  <c r="J81" i="5"/>
  <c r="I81" i="5"/>
  <c r="H81" i="5"/>
  <c r="G81" i="5"/>
  <c r="F81" i="5"/>
  <c r="E81" i="5"/>
  <c r="D81" i="5"/>
  <c r="C81" i="5"/>
  <c r="L80" i="5"/>
  <c r="K80" i="5"/>
  <c r="J80" i="5"/>
  <c r="I80" i="5"/>
  <c r="H80" i="5"/>
  <c r="G80" i="5"/>
  <c r="F80" i="5"/>
  <c r="E80" i="5"/>
  <c r="D80" i="5"/>
  <c r="C80" i="5"/>
  <c r="L69" i="5"/>
  <c r="C48" i="9" s="1"/>
  <c r="K69" i="5"/>
  <c r="J69" i="5"/>
  <c r="I69" i="5"/>
  <c r="H69" i="5"/>
  <c r="G69" i="5"/>
  <c r="F69" i="5"/>
  <c r="E69" i="5"/>
  <c r="D69" i="5"/>
  <c r="C69" i="5"/>
  <c r="L68" i="5"/>
  <c r="K68" i="5"/>
  <c r="J68" i="5"/>
  <c r="I68" i="5"/>
  <c r="H68" i="5"/>
  <c r="G68" i="5"/>
  <c r="F68" i="5"/>
  <c r="E68" i="5"/>
  <c r="D68" i="5"/>
  <c r="C68" i="5"/>
  <c r="L67" i="5"/>
  <c r="K67" i="5"/>
  <c r="J67" i="5"/>
  <c r="I67" i="5"/>
  <c r="H67" i="5"/>
  <c r="G67" i="5"/>
  <c r="F67" i="5"/>
  <c r="E67" i="5"/>
  <c r="D67" i="5"/>
  <c r="C67" i="5"/>
  <c r="L62" i="5"/>
  <c r="K62" i="5"/>
  <c r="J62" i="5"/>
  <c r="I62" i="5"/>
  <c r="H62" i="5"/>
  <c r="G62" i="5"/>
  <c r="F62" i="5"/>
  <c r="E62" i="5"/>
  <c r="D62" i="5"/>
  <c r="C62" i="5"/>
  <c r="L61" i="5"/>
  <c r="K61" i="5"/>
  <c r="J61" i="5"/>
  <c r="I61" i="5"/>
  <c r="H61" i="5"/>
  <c r="G61" i="5"/>
  <c r="F61" i="5"/>
  <c r="E61" i="5"/>
  <c r="D61" i="5"/>
  <c r="C61" i="5"/>
  <c r="L60" i="5"/>
  <c r="K60" i="5"/>
  <c r="J60" i="5"/>
  <c r="I60" i="5"/>
  <c r="H60" i="5"/>
  <c r="G60" i="5"/>
  <c r="F60" i="5"/>
  <c r="E60" i="5"/>
  <c r="D60" i="5"/>
  <c r="C60" i="5"/>
  <c r="L54" i="5"/>
  <c r="K54" i="5"/>
  <c r="J54" i="5"/>
  <c r="I54" i="5"/>
  <c r="H54" i="5"/>
  <c r="G54" i="5"/>
  <c r="F54" i="5"/>
  <c r="E54" i="5"/>
  <c r="D54" i="5"/>
  <c r="C54" i="5"/>
  <c r="L53" i="5"/>
  <c r="K53" i="5"/>
  <c r="J53" i="5"/>
  <c r="I53" i="5"/>
  <c r="H53" i="5"/>
  <c r="G53" i="5"/>
  <c r="F53" i="5"/>
  <c r="E53" i="5"/>
  <c r="D53" i="5"/>
  <c r="C53" i="5"/>
  <c r="L40" i="5"/>
  <c r="K40" i="5"/>
  <c r="J40" i="5"/>
  <c r="I40" i="5"/>
  <c r="H40" i="5"/>
  <c r="G40" i="5"/>
  <c r="F40" i="5"/>
  <c r="E40" i="5"/>
  <c r="D40" i="5"/>
  <c r="C40" i="5"/>
  <c r="L35" i="5"/>
  <c r="K35" i="5"/>
  <c r="J35" i="5"/>
  <c r="I35" i="5"/>
  <c r="H35" i="5"/>
  <c r="G35" i="5"/>
  <c r="F35" i="5"/>
  <c r="E35" i="5"/>
  <c r="D35" i="5"/>
  <c r="C35" i="5"/>
  <c r="L32" i="5"/>
  <c r="K32" i="5"/>
  <c r="J32" i="5"/>
  <c r="I32" i="5"/>
  <c r="H32" i="5"/>
  <c r="G32" i="5"/>
  <c r="F32" i="5"/>
  <c r="E32" i="5"/>
  <c r="D32" i="5"/>
  <c r="C32" i="5"/>
  <c r="L29" i="5"/>
  <c r="C21" i="9" s="1"/>
  <c r="B74" i="14" s="1"/>
  <c r="K29" i="5"/>
  <c r="J29" i="5"/>
  <c r="I29" i="5"/>
  <c r="H29" i="5"/>
  <c r="G29" i="5"/>
  <c r="F29" i="5"/>
  <c r="E29" i="5"/>
  <c r="D29" i="5"/>
  <c r="C29" i="5"/>
  <c r="L23" i="5"/>
  <c r="K23" i="5"/>
  <c r="J23" i="5"/>
  <c r="I23" i="5"/>
  <c r="H23" i="5"/>
  <c r="H107" i="5" s="1"/>
  <c r="G23" i="5"/>
  <c r="F23" i="5"/>
  <c r="E23" i="5"/>
  <c r="D23" i="5"/>
  <c r="D107" i="5" s="1"/>
  <c r="C23" i="5"/>
  <c r="L17" i="5"/>
  <c r="K17" i="5"/>
  <c r="J17" i="5"/>
  <c r="I17" i="5"/>
  <c r="H17" i="5"/>
  <c r="G17" i="5"/>
  <c r="F17" i="5"/>
  <c r="E17" i="5"/>
  <c r="D17" i="5"/>
  <c r="C17" i="5"/>
  <c r="L14" i="5"/>
  <c r="C12" i="9" s="1"/>
  <c r="K14" i="5"/>
  <c r="J14" i="5"/>
  <c r="I14" i="5"/>
  <c r="H14" i="5"/>
  <c r="G14" i="5"/>
  <c r="F14" i="5"/>
  <c r="E14" i="5"/>
  <c r="D14" i="5"/>
  <c r="C14" i="5"/>
  <c r="L8" i="5"/>
  <c r="K8" i="5"/>
  <c r="J8" i="5"/>
  <c r="I8" i="5"/>
  <c r="H8" i="5"/>
  <c r="G8" i="5"/>
  <c r="F8" i="5"/>
  <c r="E8" i="5"/>
  <c r="D8" i="5"/>
  <c r="C8" i="5"/>
  <c r="L5" i="5"/>
  <c r="K5" i="5"/>
  <c r="J5" i="5"/>
  <c r="I5" i="5"/>
  <c r="H5" i="5"/>
  <c r="G5" i="5"/>
  <c r="F5" i="5"/>
  <c r="E5" i="5"/>
  <c r="D5" i="5"/>
  <c r="D33" i="5" s="1"/>
  <c r="C5" i="5"/>
  <c r="C5" i="7" s="1"/>
  <c r="L3" i="5"/>
  <c r="L3" i="6" s="1"/>
  <c r="K3" i="5"/>
  <c r="K3" i="7" s="1"/>
  <c r="J3" i="5"/>
  <c r="I3" i="5"/>
  <c r="I3" i="7" s="1"/>
  <c r="H3" i="5"/>
  <c r="G3" i="5"/>
  <c r="F3" i="5"/>
  <c r="E3" i="5"/>
  <c r="D3" i="5"/>
  <c r="C3" i="5"/>
  <c r="B2" i="5"/>
  <c r="C86" i="3"/>
  <c r="D33" i="2"/>
  <c r="C33" i="2"/>
  <c r="B24" i="10" s="1"/>
  <c r="B25" i="10" s="1"/>
  <c r="B33" i="2"/>
  <c r="G15" i="23"/>
  <c r="F15" i="23"/>
  <c r="E15" i="23"/>
  <c r="D15" i="23"/>
  <c r="D6" i="21" l="1"/>
  <c r="C5" i="26" s="1"/>
  <c r="C10" i="26" s="1"/>
  <c r="B8" i="26"/>
  <c r="C15" i="23"/>
  <c r="B6" i="26"/>
  <c r="B10" i="26" s="1"/>
  <c r="E124" i="5"/>
  <c r="I112" i="5"/>
  <c r="D16" i="18"/>
  <c r="D115" i="5"/>
  <c r="F116" i="5"/>
  <c r="E125" i="5"/>
  <c r="D8" i="7"/>
  <c r="E126" i="5"/>
  <c r="L10" i="18"/>
  <c r="L15" i="18"/>
  <c r="I15" i="18"/>
  <c r="I10" i="18"/>
  <c r="I16" i="18"/>
  <c r="K15" i="18"/>
  <c r="K10" i="18"/>
  <c r="H123" i="5"/>
  <c r="L125" i="5"/>
  <c r="H126" i="5"/>
  <c r="K126" i="5"/>
  <c r="H115" i="5"/>
  <c r="J15" i="18"/>
  <c r="J10" i="18"/>
  <c r="L112" i="5"/>
  <c r="D112" i="5"/>
  <c r="B142" i="10"/>
  <c r="C92" i="9"/>
  <c r="C11" i="5"/>
  <c r="C7" i="7" s="1"/>
  <c r="C15" i="7"/>
  <c r="G56" i="5"/>
  <c r="G25" i="6" s="1"/>
  <c r="I56" i="5"/>
  <c r="I40" i="6" s="1"/>
  <c r="E133" i="5"/>
  <c r="F124" i="5"/>
  <c r="H125" i="5"/>
  <c r="C9" i="23"/>
  <c r="C14" i="23"/>
  <c r="C16" i="23" s="1"/>
  <c r="G6" i="7"/>
  <c r="C13" i="7"/>
  <c r="E63" i="5"/>
  <c r="I70" i="5"/>
  <c r="C85" i="5"/>
  <c r="L6" i="5"/>
  <c r="L6" i="6" s="1"/>
  <c r="F11" i="5"/>
  <c r="F7" i="7" s="1"/>
  <c r="L56" i="5"/>
  <c r="L40" i="6" s="1"/>
  <c r="J70" i="5"/>
  <c r="E113" i="5"/>
  <c r="K15" i="5"/>
  <c r="F63" i="5"/>
  <c r="H108" i="5"/>
  <c r="F8" i="19"/>
  <c r="I30" i="5"/>
  <c r="C9" i="7"/>
  <c r="K109" i="5"/>
  <c r="E116" i="5"/>
  <c r="E112" i="5"/>
  <c r="H113" i="5"/>
  <c r="H13" i="7"/>
  <c r="K33" i="5"/>
  <c r="I63" i="5"/>
  <c r="K108" i="5"/>
  <c r="K92" i="5"/>
  <c r="B68" i="9" s="1"/>
  <c r="F18" i="5"/>
  <c r="F18" i="6" s="1"/>
  <c r="K122" i="5"/>
  <c r="H63" i="5"/>
  <c r="H9" i="7"/>
  <c r="H56" i="5"/>
  <c r="H25" i="6" s="1"/>
  <c r="J56" i="5"/>
  <c r="J25" i="6" s="1"/>
  <c r="G8" i="7"/>
  <c r="I115" i="5"/>
  <c r="B95" i="10"/>
  <c r="H6" i="5"/>
  <c r="H6" i="6" s="1"/>
  <c r="J33" i="5"/>
  <c r="H17" i="7"/>
  <c r="D92" i="5"/>
  <c r="D94" i="5" s="1"/>
  <c r="H9" i="5"/>
  <c r="I109" i="5"/>
  <c r="I123" i="5"/>
  <c r="I126" i="5"/>
  <c r="B113" i="14"/>
  <c r="E20" i="19"/>
  <c r="J132" i="5"/>
  <c r="J123" i="5"/>
  <c r="D113" i="5"/>
  <c r="C9" i="21"/>
  <c r="J6" i="5"/>
  <c r="J6" i="6" s="1"/>
  <c r="G24" i="5"/>
  <c r="G19" i="6" s="1"/>
  <c r="G30" i="5"/>
  <c r="G15" i="7"/>
  <c r="K123" i="5"/>
  <c r="J126" i="5"/>
  <c r="D13" i="7"/>
  <c r="C9" i="5"/>
  <c r="I8" i="7"/>
  <c r="L8" i="7"/>
  <c r="D9" i="7"/>
  <c r="I6" i="5"/>
  <c r="I6" i="6" s="1"/>
  <c r="H85" i="5"/>
  <c r="K6" i="5"/>
  <c r="K6" i="6" s="1"/>
  <c r="G9" i="5"/>
  <c r="L9" i="5"/>
  <c r="L33" i="5"/>
  <c r="L15" i="7"/>
  <c r="J115" i="5"/>
  <c r="D27" i="8"/>
  <c r="K116" i="5"/>
  <c r="C37" i="6"/>
  <c r="C45" i="6" s="1"/>
  <c r="D15" i="5"/>
  <c r="F37" i="6"/>
  <c r="F45" i="6" s="1"/>
  <c r="I11" i="5"/>
  <c r="I12" i="5" s="1"/>
  <c r="I12" i="6" s="1"/>
  <c r="I15" i="5"/>
  <c r="D18" i="5"/>
  <c r="D18" i="6" s="1"/>
  <c r="D24" i="5"/>
  <c r="D19" i="6" s="1"/>
  <c r="C30" i="5"/>
  <c r="F132" i="5"/>
  <c r="J109" i="5"/>
  <c r="H124" i="5"/>
  <c r="J125" i="5"/>
  <c r="H109" i="5"/>
  <c r="I9" i="5"/>
  <c r="D9" i="5"/>
  <c r="J15" i="5"/>
  <c r="I18" i="5"/>
  <c r="I18" i="6" s="1"/>
  <c r="I24" i="5"/>
  <c r="I19" i="6" s="1"/>
  <c r="K125" i="5"/>
  <c r="E13" i="8"/>
  <c r="F13" i="8" s="1"/>
  <c r="G13" i="8" s="1"/>
  <c r="H13" i="8" s="1"/>
  <c r="D25" i="8" s="1"/>
  <c r="E51" i="8"/>
  <c r="E55" i="8" s="1"/>
  <c r="E119" i="3" s="1"/>
  <c r="E90" i="8"/>
  <c r="E18" i="18" s="1"/>
  <c r="I102" i="8"/>
  <c r="J87" i="8"/>
  <c r="I85" i="8"/>
  <c r="J85" i="8"/>
  <c r="K85" i="8"/>
  <c r="L85" i="8"/>
  <c r="I88" i="8"/>
  <c r="B37" i="2"/>
  <c r="H52" i="3"/>
  <c r="C155" i="10"/>
  <c r="C158" i="10" s="1"/>
  <c r="G15" i="18"/>
  <c r="F16" i="18"/>
  <c r="D60" i="8"/>
  <c r="D64" i="8" s="1"/>
  <c r="E63" i="8" s="1"/>
  <c r="F85" i="8"/>
  <c r="D88" i="8"/>
  <c r="D102" i="8"/>
  <c r="E85" i="8"/>
  <c r="G85" i="8"/>
  <c r="B45" i="9"/>
  <c r="K133" i="5"/>
  <c r="K70" i="5"/>
  <c r="E9" i="5"/>
  <c r="K9" i="7"/>
  <c r="B13" i="9"/>
  <c r="K18" i="5"/>
  <c r="K18" i="6" s="1"/>
  <c r="J107" i="5"/>
  <c r="J11" i="7"/>
  <c r="J24" i="5"/>
  <c r="J19" i="6" s="1"/>
  <c r="E5" i="7"/>
  <c r="E36" i="6"/>
  <c r="E44" i="6" s="1"/>
  <c r="E39" i="6"/>
  <c r="E6" i="5"/>
  <c r="E6" i="6" s="1"/>
  <c r="E33" i="5"/>
  <c r="E15" i="5"/>
  <c r="E18" i="5"/>
  <c r="E18" i="6" s="1"/>
  <c r="E30" i="5"/>
  <c r="E11" i="5"/>
  <c r="C3" i="7"/>
  <c r="C3" i="6"/>
  <c r="J37" i="6"/>
  <c r="J45" i="6" s="1"/>
  <c r="J38" i="6"/>
  <c r="J46" i="6" s="1"/>
  <c r="J6" i="7"/>
  <c r="J9" i="5"/>
  <c r="C56" i="5"/>
  <c r="C40" i="6" s="1"/>
  <c r="K63" i="5"/>
  <c r="K132" i="5"/>
  <c r="F8" i="7"/>
  <c r="F15" i="5"/>
  <c r="E56" i="5"/>
  <c r="E40" i="6" s="1"/>
  <c r="E24" i="5"/>
  <c r="E19" i="6" s="1"/>
  <c r="D3" i="7"/>
  <c r="D3" i="6"/>
  <c r="C25" i="9"/>
  <c r="L17" i="7"/>
  <c r="D131" i="5"/>
  <c r="L63" i="5"/>
  <c r="L132" i="5"/>
  <c r="E3" i="7"/>
  <c r="E3" i="6"/>
  <c r="G39" i="6"/>
  <c r="G5" i="7"/>
  <c r="G36" i="6"/>
  <c r="G44" i="6" s="1"/>
  <c r="C9" i="9"/>
  <c r="L38" i="6"/>
  <c r="L46" i="6" s="1"/>
  <c r="L6" i="7"/>
  <c r="L37" i="6"/>
  <c r="L45" i="6" s="1"/>
  <c r="D11" i="5"/>
  <c r="H8" i="7"/>
  <c r="C18" i="5"/>
  <c r="C18" i="6" s="1"/>
  <c r="C18" i="9"/>
  <c r="L107" i="5"/>
  <c r="L11" i="7"/>
  <c r="D30" i="5"/>
  <c r="G33" i="5"/>
  <c r="G14" i="7"/>
  <c r="E131" i="5"/>
  <c r="C66" i="9"/>
  <c r="L113" i="5"/>
  <c r="L94" i="5"/>
  <c r="J92" i="5"/>
  <c r="J94" i="5" s="1"/>
  <c r="B9" i="9"/>
  <c r="K37" i="6"/>
  <c r="K45" i="6" s="1"/>
  <c r="K6" i="7"/>
  <c r="F3" i="6"/>
  <c r="F3" i="7"/>
  <c r="L15" i="5"/>
  <c r="H14" i="7"/>
  <c r="F131" i="5"/>
  <c r="D108" i="5"/>
  <c r="F109" i="5"/>
  <c r="D122" i="5"/>
  <c r="D85" i="5"/>
  <c r="C61" i="9"/>
  <c r="D61" i="9" s="1"/>
  <c r="E61" i="9" s="1"/>
  <c r="F61" i="9" s="1"/>
  <c r="G61" i="9" s="1"/>
  <c r="H61" i="9" s="1"/>
  <c r="I61" i="9" s="1"/>
  <c r="J61" i="9" s="1"/>
  <c r="K61" i="9" s="1"/>
  <c r="K115" i="5"/>
  <c r="L3" i="7"/>
  <c r="C13" i="9"/>
  <c r="L9" i="7"/>
  <c r="D109" i="5"/>
  <c r="C69" i="9"/>
  <c r="D69" i="9" s="1"/>
  <c r="E69" i="9" s="1"/>
  <c r="F69" i="9" s="1"/>
  <c r="G69" i="9" s="1"/>
  <c r="H69" i="9" s="1"/>
  <c r="I69" i="9" s="1"/>
  <c r="J69" i="9" s="1"/>
  <c r="K69" i="9" s="1"/>
  <c r="L126" i="5"/>
  <c r="H36" i="6"/>
  <c r="H44" i="6" s="1"/>
  <c r="H5" i="7"/>
  <c r="H39" i="6"/>
  <c r="G3" i="7"/>
  <c r="G3" i="6"/>
  <c r="I36" i="6"/>
  <c r="I44" i="6" s="1"/>
  <c r="I5" i="7"/>
  <c r="J8" i="7"/>
  <c r="F30" i="5"/>
  <c r="I14" i="7"/>
  <c r="D15" i="7"/>
  <c r="G109" i="5"/>
  <c r="C70" i="5"/>
  <c r="E115" i="5"/>
  <c r="G116" i="5"/>
  <c r="B60" i="9"/>
  <c r="D126" i="5"/>
  <c r="I3" i="6"/>
  <c r="K38" i="6"/>
  <c r="K46" i="6" s="1"/>
  <c r="F39" i="6"/>
  <c r="F36" i="6"/>
  <c r="F44" i="6" s="1"/>
  <c r="F5" i="7"/>
  <c r="B18" i="9"/>
  <c r="C11" i="20" s="1"/>
  <c r="K11" i="7"/>
  <c r="K107" i="5"/>
  <c r="F14" i="7"/>
  <c r="F33" i="5"/>
  <c r="D116" i="5"/>
  <c r="H3" i="6"/>
  <c r="H3" i="7"/>
  <c r="J39" i="6"/>
  <c r="J36" i="6"/>
  <c r="J44" i="6" s="1"/>
  <c r="J5" i="7"/>
  <c r="C6" i="7"/>
  <c r="C38" i="6"/>
  <c r="C46" i="6" s="1"/>
  <c r="G11" i="5"/>
  <c r="B12" i="9"/>
  <c r="K8" i="7"/>
  <c r="C24" i="5"/>
  <c r="C19" i="6" s="1"/>
  <c r="C11" i="7"/>
  <c r="E13" i="7"/>
  <c r="J14" i="7"/>
  <c r="D17" i="7"/>
  <c r="H131" i="5"/>
  <c r="D133" i="5"/>
  <c r="F115" i="5"/>
  <c r="H116" i="5"/>
  <c r="E85" i="5"/>
  <c r="K112" i="5"/>
  <c r="K124" i="5"/>
  <c r="G131" i="5"/>
  <c r="K3" i="6"/>
  <c r="B6" i="9"/>
  <c r="K5" i="7"/>
  <c r="K36" i="6"/>
  <c r="K44" i="6" s="1"/>
  <c r="K39" i="6"/>
  <c r="D37" i="6"/>
  <c r="D45" i="6" s="1"/>
  <c r="D6" i="7"/>
  <c r="D38" i="6"/>
  <c r="D46" i="6" s="1"/>
  <c r="F9" i="5"/>
  <c r="H11" i="5"/>
  <c r="H18" i="5"/>
  <c r="H18" i="6" s="1"/>
  <c r="H24" i="5"/>
  <c r="H19" i="6" s="1"/>
  <c r="F13" i="7"/>
  <c r="H30" i="5"/>
  <c r="K14" i="7"/>
  <c r="F15" i="7"/>
  <c r="E17" i="7"/>
  <c r="I131" i="5"/>
  <c r="B35" i="9"/>
  <c r="G115" i="5"/>
  <c r="I116" i="5"/>
  <c r="G85" i="5"/>
  <c r="G122" i="5"/>
  <c r="I85" i="5"/>
  <c r="I122" i="5"/>
  <c r="B59" i="9"/>
  <c r="L123" i="5"/>
  <c r="D125" i="5"/>
  <c r="L116" i="5"/>
  <c r="L124" i="5"/>
  <c r="E38" i="6"/>
  <c r="E46" i="6" s="1"/>
  <c r="E6" i="7"/>
  <c r="E37" i="6"/>
  <c r="E45" i="6" s="1"/>
  <c r="E11" i="7"/>
  <c r="G13" i="7"/>
  <c r="C20" i="9"/>
  <c r="L14" i="7"/>
  <c r="F17" i="7"/>
  <c r="F70" i="5"/>
  <c r="F133" i="5"/>
  <c r="G126" i="5"/>
  <c r="E107" i="5"/>
  <c r="G132" i="5"/>
  <c r="I39" i="6"/>
  <c r="J3" i="6"/>
  <c r="J3" i="7"/>
  <c r="D41" i="18"/>
  <c r="D54" i="18" s="1"/>
  <c r="C6" i="9"/>
  <c r="L36" i="6"/>
  <c r="L44" i="6" s="1"/>
  <c r="L39" i="6"/>
  <c r="L5" i="7"/>
  <c r="F9" i="7"/>
  <c r="D6" i="5"/>
  <c r="D6" i="6" s="1"/>
  <c r="F6" i="7"/>
  <c r="F38" i="6"/>
  <c r="F46" i="6" s="1"/>
  <c r="J11" i="5"/>
  <c r="G9" i="7"/>
  <c r="G18" i="5"/>
  <c r="G18" i="6" s="1"/>
  <c r="J18" i="5"/>
  <c r="J18" i="6" s="1"/>
  <c r="F24" i="5"/>
  <c r="F19" i="6" s="1"/>
  <c r="F11" i="7"/>
  <c r="F107" i="5"/>
  <c r="J30" i="5"/>
  <c r="H15" i="7"/>
  <c r="G17" i="7"/>
  <c r="K56" i="5"/>
  <c r="K25" i="6" s="1"/>
  <c r="D56" i="5"/>
  <c r="D40" i="6" s="1"/>
  <c r="G63" i="5"/>
  <c r="I108" i="5"/>
  <c r="B41" i="9"/>
  <c r="G133" i="5"/>
  <c r="G70" i="5"/>
  <c r="D124" i="5"/>
  <c r="G113" i="5"/>
  <c r="F113" i="5"/>
  <c r="K24" i="5"/>
  <c r="K19" i="6" s="1"/>
  <c r="L30" i="5"/>
  <c r="C34" i="9"/>
  <c r="L131" i="5"/>
  <c r="H132" i="5"/>
  <c r="J108" i="5"/>
  <c r="C41" i="9"/>
  <c r="L109" i="5"/>
  <c r="H70" i="5"/>
  <c r="H133" i="5"/>
  <c r="J85" i="5"/>
  <c r="J122" i="5"/>
  <c r="C58" i="9"/>
  <c r="L85" i="5"/>
  <c r="F112" i="5"/>
  <c r="E92" i="5"/>
  <c r="E108" i="5"/>
  <c r="E122" i="5"/>
  <c r="G37" i="6"/>
  <c r="G45" i="6" s="1"/>
  <c r="G38" i="6"/>
  <c r="G46" i="6" s="1"/>
  <c r="C8" i="7"/>
  <c r="C15" i="5"/>
  <c r="G125" i="5"/>
  <c r="F125" i="5"/>
  <c r="C39" i="6"/>
  <c r="F6" i="5"/>
  <c r="F6" i="6" s="1"/>
  <c r="H38" i="6"/>
  <c r="H46" i="6" s="1"/>
  <c r="H37" i="6"/>
  <c r="H45" i="6" s="1"/>
  <c r="H6" i="7"/>
  <c r="L11" i="5"/>
  <c r="G15" i="5"/>
  <c r="I9" i="7"/>
  <c r="L18" i="5"/>
  <c r="L18" i="6" s="1"/>
  <c r="H11" i="7"/>
  <c r="L24" i="5"/>
  <c r="L19" i="6" s="1"/>
  <c r="J13" i="7"/>
  <c r="C14" i="7"/>
  <c r="C33" i="5"/>
  <c r="H33" i="5"/>
  <c r="J15" i="7"/>
  <c r="I17" i="7"/>
  <c r="F56" i="5"/>
  <c r="F40" i="6" s="1"/>
  <c r="I132" i="5"/>
  <c r="B40" i="9"/>
  <c r="C63" i="5"/>
  <c r="D70" i="5"/>
  <c r="B57" i="9"/>
  <c r="K85" i="5"/>
  <c r="D123" i="5"/>
  <c r="F108" i="5"/>
  <c r="F122" i="5"/>
  <c r="F126" i="5"/>
  <c r="K11" i="5"/>
  <c r="G11" i="7"/>
  <c r="G107" i="5"/>
  <c r="D36" i="6"/>
  <c r="D44" i="6" s="1"/>
  <c r="D39" i="6"/>
  <c r="D5" i="7"/>
  <c r="G6" i="5"/>
  <c r="G6" i="6" s="1"/>
  <c r="I38" i="6"/>
  <c r="I46" i="6" s="1"/>
  <c r="I37" i="6"/>
  <c r="I45" i="6" s="1"/>
  <c r="I6" i="7"/>
  <c r="K9" i="5"/>
  <c r="E8" i="7"/>
  <c r="H15" i="5"/>
  <c r="J9" i="7"/>
  <c r="I107" i="5"/>
  <c r="I11" i="7"/>
  <c r="B21" i="9"/>
  <c r="K13" i="7"/>
  <c r="K30" i="5"/>
  <c r="I33" i="5"/>
  <c r="K15" i="7"/>
  <c r="J17" i="7"/>
  <c r="J63" i="5"/>
  <c r="D30" i="20"/>
  <c r="E28" i="20" s="1"/>
  <c r="D29" i="20"/>
  <c r="C10" i="23" s="1"/>
  <c r="C40" i="9"/>
  <c r="L108" i="5"/>
  <c r="D63" i="5"/>
  <c r="J133" i="5"/>
  <c r="C47" i="9"/>
  <c r="L115" i="5"/>
  <c r="L70" i="5"/>
  <c r="E70" i="5"/>
  <c r="L122" i="5"/>
  <c r="H112" i="5"/>
  <c r="G92" i="5"/>
  <c r="G94" i="5" s="1"/>
  <c r="J113" i="5"/>
  <c r="B67" i="9"/>
  <c r="L140" i="5"/>
  <c r="H122" i="5"/>
  <c r="C36" i="6"/>
  <c r="C44" i="6" s="1"/>
  <c r="C60" i="9"/>
  <c r="G108" i="5"/>
  <c r="K140" i="5"/>
  <c r="C59" i="9"/>
  <c r="D59" i="9" s="1"/>
  <c r="E59" i="9" s="1"/>
  <c r="F59" i="9" s="1"/>
  <c r="G59" i="9" s="1"/>
  <c r="H59" i="9" s="1"/>
  <c r="I59" i="9" s="1"/>
  <c r="J59" i="9" s="1"/>
  <c r="K59" i="9" s="1"/>
  <c r="F85" i="5"/>
  <c r="C67" i="9"/>
  <c r="L13" i="7"/>
  <c r="E9" i="7"/>
  <c r="I13" i="7"/>
  <c r="E15" i="7"/>
  <c r="B25" i="9"/>
  <c r="K17" i="7"/>
  <c r="B47" i="9"/>
  <c r="B58" i="9"/>
  <c r="B66" i="9"/>
  <c r="C92" i="5"/>
  <c r="B65" i="9"/>
  <c r="D140" i="5"/>
  <c r="I113" i="5"/>
  <c r="I125" i="5"/>
  <c r="D11" i="7"/>
  <c r="D14" i="7"/>
  <c r="J131" i="5"/>
  <c r="C35" i="9"/>
  <c r="D132" i="5"/>
  <c r="C45" i="9"/>
  <c r="L133" i="5"/>
  <c r="C57" i="9"/>
  <c r="C65" i="9"/>
  <c r="F92" i="5"/>
  <c r="G112" i="5"/>
  <c r="G124" i="5"/>
  <c r="G13" i="18"/>
  <c r="G16" i="18" s="1"/>
  <c r="G102" i="8"/>
  <c r="G41" i="8" s="1"/>
  <c r="E14" i="7"/>
  <c r="I15" i="7"/>
  <c r="C17" i="7"/>
  <c r="B34" i="9"/>
  <c r="E109" i="5"/>
  <c r="K113" i="5"/>
  <c r="E123" i="5"/>
  <c r="K131" i="5"/>
  <c r="I133" i="5"/>
  <c r="E140" i="5"/>
  <c r="H13" i="18"/>
  <c r="H16" i="18" s="1"/>
  <c r="H102" i="8"/>
  <c r="H41" i="8" s="1"/>
  <c r="G140" i="5"/>
  <c r="H92" i="5"/>
  <c r="F123" i="5"/>
  <c r="I124" i="5"/>
  <c r="B61" i="9"/>
  <c r="I92" i="5"/>
  <c r="I94" i="5" s="1"/>
  <c r="B69" i="9"/>
  <c r="J112" i="5"/>
  <c r="J116" i="5"/>
  <c r="G123" i="5"/>
  <c r="J124" i="5"/>
  <c r="E132" i="5"/>
  <c r="H140" i="5"/>
  <c r="D8" i="18"/>
  <c r="D85" i="8"/>
  <c r="G88" i="8"/>
  <c r="D6" i="22"/>
  <c r="D9" i="22" s="1"/>
  <c r="D55" i="8"/>
  <c r="E15" i="18"/>
  <c r="E6" i="22"/>
  <c r="F49" i="8"/>
  <c r="F10" i="18"/>
  <c r="F15" i="18"/>
  <c r="E9" i="18"/>
  <c r="E16" i="18" s="1"/>
  <c r="E88" i="8"/>
  <c r="H8" i="18"/>
  <c r="H85" i="8"/>
  <c r="F88" i="8"/>
  <c r="F6" i="19"/>
  <c r="D12" i="21"/>
  <c r="C15" i="21"/>
  <c r="H88" i="8"/>
  <c r="E102" i="8"/>
  <c r="E41" i="8" s="1"/>
  <c r="G10" i="18"/>
  <c r="G9" i="19"/>
  <c r="F102" i="8"/>
  <c r="F41" i="8" s="1"/>
  <c r="D34" i="12"/>
  <c r="G10" i="19"/>
  <c r="G20" i="19" s="1"/>
  <c r="B6" i="11"/>
  <c r="F26" i="19"/>
  <c r="C24" i="21"/>
  <c r="C29" i="18"/>
  <c r="C31" i="18" s="1"/>
  <c r="C37" i="12"/>
  <c r="C23" i="18"/>
  <c r="C25" i="18" s="1"/>
  <c r="K94" i="5" l="1"/>
  <c r="D68" i="8"/>
  <c r="D8" i="21"/>
  <c r="D70" i="8" s="1"/>
  <c r="L25" i="6"/>
  <c r="C82" i="9"/>
  <c r="E25" i="6"/>
  <c r="F12" i="5"/>
  <c r="F12" i="6" s="1"/>
  <c r="E7" i="22"/>
  <c r="E9" i="22" s="1"/>
  <c r="F51" i="8"/>
  <c r="F7" i="22" s="1"/>
  <c r="H40" i="6"/>
  <c r="C20" i="5"/>
  <c r="C10" i="7" s="1"/>
  <c r="J88" i="8"/>
  <c r="J7" i="8" s="1"/>
  <c r="J13" i="18"/>
  <c r="J16" i="18" s="1"/>
  <c r="J17" i="18" s="1"/>
  <c r="I72" i="5"/>
  <c r="G40" i="6"/>
  <c r="I17" i="18"/>
  <c r="D25" i="6"/>
  <c r="B36" i="9"/>
  <c r="I20" i="5"/>
  <c r="I21" i="5" s="1"/>
  <c r="I13" i="6" s="1"/>
  <c r="G89" i="8"/>
  <c r="G8" i="8" s="1"/>
  <c r="C12" i="5"/>
  <c r="C12" i="6" s="1"/>
  <c r="I7" i="7"/>
  <c r="I74" i="5"/>
  <c r="F20" i="5"/>
  <c r="F10" i="7" s="1"/>
  <c r="J40" i="6"/>
  <c r="I25" i="6"/>
  <c r="F25" i="6"/>
  <c r="C25" i="21"/>
  <c r="G8" i="19"/>
  <c r="C25" i="6"/>
  <c r="H127" i="5"/>
  <c r="E114" i="5"/>
  <c r="C42" i="9"/>
  <c r="G74" i="5"/>
  <c r="K127" i="5"/>
  <c r="I89" i="8"/>
  <c r="I93" i="8" s="1"/>
  <c r="I95" i="8" s="1"/>
  <c r="F47" i="6"/>
  <c r="L47" i="6"/>
  <c r="L127" i="5"/>
  <c r="E127" i="5"/>
  <c r="F90" i="8"/>
  <c r="F18" i="18" s="1"/>
  <c r="G127" i="5"/>
  <c r="C47" i="6"/>
  <c r="L74" i="5"/>
  <c r="D13" i="19"/>
  <c r="D17" i="19" s="1"/>
  <c r="D21" i="19" s="1"/>
  <c r="C41" i="10"/>
  <c r="I7" i="8"/>
  <c r="C100" i="14"/>
  <c r="F7" i="8"/>
  <c r="D121" i="14" s="1"/>
  <c r="G7" i="8"/>
  <c r="E121" i="14" s="1"/>
  <c r="I13" i="8"/>
  <c r="J13" i="8" s="1"/>
  <c r="K13" i="8" s="1"/>
  <c r="L13" i="8" s="1"/>
  <c r="F89" i="8"/>
  <c r="F8" i="8" s="1"/>
  <c r="F17" i="18"/>
  <c r="F23" i="18" s="1"/>
  <c r="F25" i="18" s="1"/>
  <c r="J102" i="8"/>
  <c r="K87" i="8"/>
  <c r="K13" i="18" s="1"/>
  <c r="K16" i="18" s="1"/>
  <c r="K17" i="18" s="1"/>
  <c r="G17" i="18"/>
  <c r="G29" i="18" s="1"/>
  <c r="G31" i="18" s="1"/>
  <c r="E89" i="8"/>
  <c r="E8" i="8" s="1"/>
  <c r="I24" i="6"/>
  <c r="I23" i="6"/>
  <c r="G24" i="6"/>
  <c r="G23" i="6"/>
  <c r="I127" i="5"/>
  <c r="C68" i="9"/>
  <c r="C70" i="9" s="1"/>
  <c r="H10" i="19"/>
  <c r="D89" i="8"/>
  <c r="D7" i="8"/>
  <c r="B121" i="14" s="1"/>
  <c r="B83" i="14"/>
  <c r="C102" i="9"/>
  <c r="D99" i="9" s="1"/>
  <c r="B72" i="10"/>
  <c r="B140" i="10" s="1"/>
  <c r="D72" i="3"/>
  <c r="C99" i="9"/>
  <c r="C72" i="3"/>
  <c r="J96" i="5"/>
  <c r="J47" i="7" s="1"/>
  <c r="J7" i="7"/>
  <c r="J12" i="5"/>
  <c r="J12" i="6" s="1"/>
  <c r="J20" i="5"/>
  <c r="I96" i="5"/>
  <c r="H7" i="7"/>
  <c r="H20" i="5"/>
  <c r="H12" i="5"/>
  <c r="H12" i="6" s="1"/>
  <c r="L24" i="6"/>
  <c r="L23" i="6"/>
  <c r="D10" i="18"/>
  <c r="D15" i="18"/>
  <c r="D17" i="18" s="1"/>
  <c r="G114" i="5"/>
  <c r="J72" i="5"/>
  <c r="F127" i="5"/>
  <c r="B42" i="9"/>
  <c r="D74" i="5"/>
  <c r="G47" i="6"/>
  <c r="K72" i="5"/>
  <c r="D114" i="5"/>
  <c r="C94" i="5"/>
  <c r="E47" i="6"/>
  <c r="C49" i="9"/>
  <c r="B73" i="10"/>
  <c r="B141" i="10" s="1"/>
  <c r="C93" i="9"/>
  <c r="C109" i="9" s="1"/>
  <c r="B14" i="10"/>
  <c r="D9" i="3"/>
  <c r="D71" i="3" s="1"/>
  <c r="F6" i="22"/>
  <c r="G49" i="8"/>
  <c r="D34" i="9"/>
  <c r="C36" i="9"/>
  <c r="C23" i="23" s="1"/>
  <c r="K74" i="5"/>
  <c r="G96" i="5"/>
  <c r="G33" i="7" s="1"/>
  <c r="I47" i="6"/>
  <c r="D96" i="5"/>
  <c r="D25" i="7" s="1"/>
  <c r="C43" i="10"/>
  <c r="B70" i="9"/>
  <c r="C81" i="9"/>
  <c r="B43" i="10"/>
  <c r="C83" i="9"/>
  <c r="F114" i="5"/>
  <c r="G7" i="7"/>
  <c r="G20" i="5"/>
  <c r="G12" i="5"/>
  <c r="G12" i="6" s="1"/>
  <c r="D127" i="5"/>
  <c r="J24" i="6"/>
  <c r="J23" i="6"/>
  <c r="H72" i="5"/>
  <c r="J74" i="5"/>
  <c r="C72" i="5"/>
  <c r="H9" i="19"/>
  <c r="D14" i="21"/>
  <c r="D105" i="8"/>
  <c r="C33" i="18"/>
  <c r="C36" i="18" s="1"/>
  <c r="G6" i="19"/>
  <c r="E17" i="18"/>
  <c r="K23" i="6"/>
  <c r="K24" i="6"/>
  <c r="D47" i="6"/>
  <c r="F74" i="5"/>
  <c r="K40" i="6"/>
  <c r="D11" i="20"/>
  <c r="C40" i="10"/>
  <c r="C78" i="9"/>
  <c r="C8" i="23"/>
  <c r="H114" i="5"/>
  <c r="K47" i="6"/>
  <c r="E74" i="5"/>
  <c r="L114" i="5"/>
  <c r="E72" i="5"/>
  <c r="E7" i="7"/>
  <c r="E12" i="5"/>
  <c r="E12" i="6" s="1"/>
  <c r="E20" i="5"/>
  <c r="E10" i="18"/>
  <c r="K96" i="5"/>
  <c r="K25" i="7" s="1"/>
  <c r="D72" i="5"/>
  <c r="L96" i="5"/>
  <c r="L47" i="7" s="1"/>
  <c r="E60" i="8"/>
  <c r="B62" i="9"/>
  <c r="B69" i="14"/>
  <c r="C10" i="9"/>
  <c r="C7" i="9"/>
  <c r="D6" i="3"/>
  <c r="H47" i="6"/>
  <c r="D7" i="7"/>
  <c r="D20" i="5"/>
  <c r="D12" i="5"/>
  <c r="D12" i="6" s="1"/>
  <c r="B49" i="9"/>
  <c r="C9" i="3"/>
  <c r="C71" i="3" s="1"/>
  <c r="B100" i="14"/>
  <c r="D119" i="3"/>
  <c r="L7" i="7"/>
  <c r="L12" i="5"/>
  <c r="L12" i="6" s="1"/>
  <c r="L20" i="5"/>
  <c r="G26" i="19"/>
  <c r="H15" i="18"/>
  <c r="H17" i="18" s="1"/>
  <c r="H10" i="18"/>
  <c r="I114" i="5"/>
  <c r="H94" i="5"/>
  <c r="E7" i="8"/>
  <c r="C121" i="14" s="1"/>
  <c r="F94" i="5"/>
  <c r="K7" i="7"/>
  <c r="K12" i="5"/>
  <c r="K12" i="6" s="1"/>
  <c r="K20" i="5"/>
  <c r="C6" i="3"/>
  <c r="C58" i="3" s="1"/>
  <c r="B10" i="9"/>
  <c r="F72" i="5"/>
  <c r="J47" i="6"/>
  <c r="E94" i="5"/>
  <c r="H89" i="8"/>
  <c r="H7" i="8"/>
  <c r="F121" i="14" s="1"/>
  <c r="B82" i="14"/>
  <c r="C62" i="9"/>
  <c r="C88" i="9"/>
  <c r="C89" i="9" s="1"/>
  <c r="B89" i="14" s="1"/>
  <c r="C21" i="23"/>
  <c r="D112" i="3"/>
  <c r="J114" i="5"/>
  <c r="C84" i="9"/>
  <c r="J127" i="5"/>
  <c r="D24" i="6"/>
  <c r="D23" i="6"/>
  <c r="G72" i="5"/>
  <c r="K114" i="5"/>
  <c r="L72" i="5"/>
  <c r="C74" i="5"/>
  <c r="H74" i="5"/>
  <c r="E6" i="21" l="1"/>
  <c r="E68" i="8" s="1"/>
  <c r="D108" i="8"/>
  <c r="C8" i="26"/>
  <c r="I26" i="5"/>
  <c r="I30" i="6" s="1"/>
  <c r="F55" i="8"/>
  <c r="D100" i="14" s="1"/>
  <c r="G51" i="8"/>
  <c r="G55" i="8" s="1"/>
  <c r="G97" i="8"/>
  <c r="G99" i="8" s="1"/>
  <c r="G93" i="8"/>
  <c r="G95" i="8" s="1"/>
  <c r="F26" i="5"/>
  <c r="F30" i="6" s="1"/>
  <c r="C73" i="3"/>
  <c r="F21" i="5"/>
  <c r="F13" i="6" s="1"/>
  <c r="G7" i="6"/>
  <c r="I10" i="7"/>
  <c r="D33" i="7"/>
  <c r="G90" i="8"/>
  <c r="H90" i="8" s="1"/>
  <c r="I90" i="8" s="1"/>
  <c r="J90" i="8" s="1"/>
  <c r="G34" i="7"/>
  <c r="C21" i="5"/>
  <c r="C13" i="6" s="1"/>
  <c r="C26" i="5"/>
  <c r="C37" i="5" s="1"/>
  <c r="I34" i="7"/>
  <c r="G29" i="7"/>
  <c r="G49" i="7"/>
  <c r="J89" i="8"/>
  <c r="J93" i="8" s="1"/>
  <c r="J95" i="8" s="1"/>
  <c r="J29" i="18"/>
  <c r="J31" i="18" s="1"/>
  <c r="J23" i="18"/>
  <c r="J25" i="18" s="1"/>
  <c r="K29" i="18"/>
  <c r="K31" i="18" s="1"/>
  <c r="K23" i="18"/>
  <c r="K25" i="18" s="1"/>
  <c r="I29" i="18"/>
  <c r="I31" i="18" s="1"/>
  <c r="I23" i="18"/>
  <c r="I25" i="18" s="1"/>
  <c r="G35" i="7"/>
  <c r="J29" i="7"/>
  <c r="D73" i="3"/>
  <c r="L29" i="7"/>
  <c r="J43" i="7"/>
  <c r="D49" i="7"/>
  <c r="J49" i="7"/>
  <c r="D43" i="7"/>
  <c r="B72" i="9"/>
  <c r="E27" i="19"/>
  <c r="E7" i="19"/>
  <c r="E11" i="19" s="1"/>
  <c r="D12" i="20"/>
  <c r="I8" i="8"/>
  <c r="H8" i="19"/>
  <c r="D34" i="7"/>
  <c r="C38" i="18"/>
  <c r="C51" i="9"/>
  <c r="C52" i="9" s="1"/>
  <c r="I97" i="8"/>
  <c r="I99" i="8" s="1"/>
  <c r="D29" i="7"/>
  <c r="J35" i="7"/>
  <c r="J34" i="7"/>
  <c r="L49" i="7"/>
  <c r="D35" i="7"/>
  <c r="I47" i="7"/>
  <c r="L33" i="7"/>
  <c r="I43" i="7"/>
  <c r="I35" i="7"/>
  <c r="K33" i="7"/>
  <c r="I10" i="19"/>
  <c r="H20" i="19"/>
  <c r="I9" i="19"/>
  <c r="F93" i="8"/>
  <c r="F95" i="8" s="1"/>
  <c r="F19" i="18"/>
  <c r="C72" i="9"/>
  <c r="B84" i="14" s="1"/>
  <c r="C37" i="18"/>
  <c r="G47" i="7"/>
  <c r="K49" i="7"/>
  <c r="G43" i="7"/>
  <c r="K29" i="7"/>
  <c r="F97" i="8"/>
  <c r="F99" i="8" s="1"/>
  <c r="F91" i="8"/>
  <c r="F29" i="18"/>
  <c r="F31" i="18" s="1"/>
  <c r="K102" i="8"/>
  <c r="L87" i="8"/>
  <c r="L13" i="18" s="1"/>
  <c r="L16" i="18" s="1"/>
  <c r="L17" i="18" s="1"/>
  <c r="K88" i="8"/>
  <c r="E97" i="8"/>
  <c r="E99" i="8" s="1"/>
  <c r="E93" i="8"/>
  <c r="E95" i="8" s="1"/>
  <c r="E91" i="8"/>
  <c r="G23" i="18"/>
  <c r="G25" i="18" s="1"/>
  <c r="E13" i="19"/>
  <c r="D88" i="9"/>
  <c r="D89" i="9" s="1"/>
  <c r="C89" i="14" s="1"/>
  <c r="D41" i="10"/>
  <c r="E19" i="18"/>
  <c r="E23" i="18"/>
  <c r="E25" i="18" s="1"/>
  <c r="E29" i="18"/>
  <c r="E31" i="18" s="1"/>
  <c r="G10" i="7"/>
  <c r="H7" i="6"/>
  <c r="G26" i="5"/>
  <c r="G21" i="5"/>
  <c r="G13" i="6" s="1"/>
  <c r="I26" i="6"/>
  <c r="I37" i="5"/>
  <c r="I27" i="5"/>
  <c r="L34" i="7"/>
  <c r="C111" i="9"/>
  <c r="C22" i="1"/>
  <c r="D22" i="1"/>
  <c r="E64" i="8"/>
  <c r="F63" i="8" s="1"/>
  <c r="E10" i="7"/>
  <c r="E26" i="5"/>
  <c r="F7" i="6"/>
  <c r="E21" i="5"/>
  <c r="E13" i="6" s="1"/>
  <c r="K34" i="7"/>
  <c r="H26" i="5"/>
  <c r="I7" i="6"/>
  <c r="H10" i="7"/>
  <c r="H21" i="5"/>
  <c r="H13" i="6" s="1"/>
  <c r="H6" i="19"/>
  <c r="I6" i="19" s="1"/>
  <c r="H93" i="8"/>
  <c r="H95" i="8" s="1"/>
  <c r="H97" i="8"/>
  <c r="H99" i="8" s="1"/>
  <c r="H8" i="8"/>
  <c r="H26" i="19"/>
  <c r="I26" i="19" s="1"/>
  <c r="J26" i="19" s="1"/>
  <c r="K26" i="19" s="1"/>
  <c r="L26" i="19" s="1"/>
  <c r="L43" i="7"/>
  <c r="D116" i="3"/>
  <c r="D19" i="18"/>
  <c r="D48" i="18" s="1"/>
  <c r="D23" i="18"/>
  <c r="D25" i="18" s="1"/>
  <c r="D29" i="18"/>
  <c r="D31" i="18" s="1"/>
  <c r="I50" i="7"/>
  <c r="I98" i="5"/>
  <c r="I100" i="5"/>
  <c r="I30" i="7"/>
  <c r="I27" i="7"/>
  <c r="I42" i="7"/>
  <c r="I29" i="7"/>
  <c r="I40" i="7"/>
  <c r="I32" i="7"/>
  <c r="I38" i="7"/>
  <c r="I48" i="7"/>
  <c r="I33" i="7"/>
  <c r="I24" i="7"/>
  <c r="I26" i="7"/>
  <c r="I23" i="7"/>
  <c r="I41" i="7"/>
  <c r="I31" i="7"/>
  <c r="I46" i="7"/>
  <c r="I45" i="7"/>
  <c r="I44" i="7"/>
  <c r="I39" i="7"/>
  <c r="I28" i="7"/>
  <c r="I25" i="7"/>
  <c r="D65" i="8"/>
  <c r="K7" i="6"/>
  <c r="K21" i="5"/>
  <c r="K13" i="6" s="1"/>
  <c r="K10" i="7"/>
  <c r="K26" i="5"/>
  <c r="D10" i="7"/>
  <c r="E7" i="6"/>
  <c r="D21" i="5"/>
  <c r="D13" i="6" s="1"/>
  <c r="D26" i="5"/>
  <c r="K35" i="7"/>
  <c r="B35" i="12"/>
  <c r="B111" i="14"/>
  <c r="L35" i="7"/>
  <c r="B80" i="14"/>
  <c r="B97" i="14" s="1"/>
  <c r="B13" i="10"/>
  <c r="B16" i="10" s="1"/>
  <c r="D115" i="3"/>
  <c r="J10" i="7"/>
  <c r="J7" i="6"/>
  <c r="J26" i="5"/>
  <c r="J21" i="5"/>
  <c r="J13" i="6" s="1"/>
  <c r="K50" i="7"/>
  <c r="K98" i="5"/>
  <c r="K100" i="5"/>
  <c r="K40" i="7"/>
  <c r="K30" i="7"/>
  <c r="K41" i="7"/>
  <c r="K31" i="7"/>
  <c r="K47" i="7"/>
  <c r="K48" i="7"/>
  <c r="K38" i="7"/>
  <c r="K28" i="7"/>
  <c r="K39" i="7"/>
  <c r="K26" i="7"/>
  <c r="K44" i="7"/>
  <c r="K23" i="7"/>
  <c r="K24" i="7"/>
  <c r="K32" i="7"/>
  <c r="K46" i="7"/>
  <c r="K42" i="7"/>
  <c r="K27" i="7"/>
  <c r="K45" i="7"/>
  <c r="E34" i="9"/>
  <c r="B31" i="10"/>
  <c r="B30" i="10"/>
  <c r="L10" i="7"/>
  <c r="L7" i="6"/>
  <c r="L26" i="5"/>
  <c r="L21" i="5"/>
  <c r="L13" i="6" s="1"/>
  <c r="F23" i="6"/>
  <c r="F24" i="6"/>
  <c r="D58" i="3"/>
  <c r="D39" i="1"/>
  <c r="C39" i="1"/>
  <c r="K43" i="7"/>
  <c r="D98" i="5"/>
  <c r="D100" i="5"/>
  <c r="D50" i="7"/>
  <c r="D27" i="7"/>
  <c r="D39" i="7"/>
  <c r="D40" i="7"/>
  <c r="D48" i="7"/>
  <c r="D41" i="7"/>
  <c r="D32" i="7"/>
  <c r="D42" i="7"/>
  <c r="D24" i="7"/>
  <c r="D38" i="7"/>
  <c r="D31" i="7"/>
  <c r="D26" i="7"/>
  <c r="D28" i="7"/>
  <c r="D46" i="7"/>
  <c r="D30" i="7"/>
  <c r="D47" i="7"/>
  <c r="D23" i="7"/>
  <c r="D45" i="7"/>
  <c r="D44" i="7"/>
  <c r="F96" i="5"/>
  <c r="F49" i="7" s="1"/>
  <c r="B51" i="9"/>
  <c r="B52" i="9" s="1"/>
  <c r="E24" i="6"/>
  <c r="E23" i="6"/>
  <c r="B70" i="14"/>
  <c r="D59" i="3"/>
  <c r="E96" i="5"/>
  <c r="E34" i="7" s="1"/>
  <c r="D7" i="6"/>
  <c r="D97" i="8"/>
  <c r="D99" i="8" s="1"/>
  <c r="D93" i="8"/>
  <c r="D95" i="8" s="1"/>
  <c r="D8" i="8"/>
  <c r="D91" i="8"/>
  <c r="I49" i="7"/>
  <c r="F9" i="22"/>
  <c r="L50" i="7"/>
  <c r="L100" i="5"/>
  <c r="C12" i="1"/>
  <c r="D12" i="1"/>
  <c r="L98" i="5"/>
  <c r="L30" i="7"/>
  <c r="L26" i="7"/>
  <c r="L39" i="7"/>
  <c r="L27" i="7"/>
  <c r="L38" i="7"/>
  <c r="L25" i="7"/>
  <c r="L28" i="7"/>
  <c r="L24" i="7"/>
  <c r="L46" i="7"/>
  <c r="L45" i="7"/>
  <c r="L31" i="7"/>
  <c r="L40" i="7"/>
  <c r="L44" i="7"/>
  <c r="L41" i="7"/>
  <c r="L23" i="7"/>
  <c r="L32" i="7"/>
  <c r="L42" i="7"/>
  <c r="L48" i="7"/>
  <c r="C44" i="10"/>
  <c r="B15" i="9"/>
  <c r="C64" i="3"/>
  <c r="H23" i="6"/>
  <c r="H24" i="6"/>
  <c r="H96" i="5"/>
  <c r="H35" i="7" s="1"/>
  <c r="C15" i="9"/>
  <c r="D64" i="3"/>
  <c r="E12" i="21"/>
  <c r="D24" i="21"/>
  <c r="G6" i="22"/>
  <c r="H49" i="8"/>
  <c r="I49" i="8" s="1"/>
  <c r="I6" i="22" s="1"/>
  <c r="J50" i="7"/>
  <c r="J98" i="5"/>
  <c r="J100" i="5"/>
  <c r="J27" i="7"/>
  <c r="J28" i="7"/>
  <c r="J48" i="7"/>
  <c r="J23" i="7"/>
  <c r="J33" i="7"/>
  <c r="J30" i="7"/>
  <c r="J32" i="7"/>
  <c r="J25" i="7"/>
  <c r="J44" i="7"/>
  <c r="J24" i="7"/>
  <c r="J39" i="7"/>
  <c r="J40" i="7"/>
  <c r="J46" i="7"/>
  <c r="J26" i="7"/>
  <c r="J31" i="7"/>
  <c r="J45" i="7"/>
  <c r="J42" i="7"/>
  <c r="J41" i="7"/>
  <c r="J38" i="7"/>
  <c r="H29" i="18"/>
  <c r="H31" i="18" s="1"/>
  <c r="H23" i="18"/>
  <c r="H25" i="18" s="1"/>
  <c r="G50" i="7"/>
  <c r="G100" i="5"/>
  <c r="G98" i="5"/>
  <c r="G28" i="7"/>
  <c r="G27" i="7"/>
  <c r="G24" i="7"/>
  <c r="G31" i="7"/>
  <c r="G44" i="7"/>
  <c r="G41" i="7"/>
  <c r="G25" i="7"/>
  <c r="G30" i="7"/>
  <c r="G42" i="7"/>
  <c r="G40" i="7"/>
  <c r="G38" i="7"/>
  <c r="G45" i="7"/>
  <c r="G32" i="7"/>
  <c r="G23" i="7"/>
  <c r="G26" i="7"/>
  <c r="G48" i="7"/>
  <c r="G39" i="7"/>
  <c r="G46" i="7"/>
  <c r="B33" i="12"/>
  <c r="B112" i="14"/>
  <c r="C23" i="6"/>
  <c r="C24" i="6"/>
  <c r="C96" i="5"/>
  <c r="D8" i="6" l="1"/>
  <c r="C30" i="6"/>
  <c r="D5" i="26"/>
  <c r="D10" i="26" s="1"/>
  <c r="E8" i="21"/>
  <c r="E108" i="8" s="1"/>
  <c r="I12" i="7"/>
  <c r="F37" i="5"/>
  <c r="F16" i="7" s="1"/>
  <c r="F26" i="6"/>
  <c r="G8" i="6"/>
  <c r="F27" i="5"/>
  <c r="F20" i="6" s="1"/>
  <c r="B105" i="9"/>
  <c r="C6" i="1" s="1"/>
  <c r="F12" i="7"/>
  <c r="F119" i="3"/>
  <c r="H51" i="8"/>
  <c r="I51" i="8" s="1"/>
  <c r="I55" i="8" s="1"/>
  <c r="I119" i="3" s="1"/>
  <c r="G7" i="22"/>
  <c r="G9" i="22" s="1"/>
  <c r="J97" i="8"/>
  <c r="J99" i="8" s="1"/>
  <c r="G18" i="18"/>
  <c r="G19" i="18" s="1"/>
  <c r="G33" i="18" s="1"/>
  <c r="G37" i="18" s="1"/>
  <c r="I18" i="18"/>
  <c r="I19" i="18" s="1"/>
  <c r="I33" i="18" s="1"/>
  <c r="I36" i="18" s="1"/>
  <c r="G91" i="8"/>
  <c r="G100" i="8" s="1"/>
  <c r="G10" i="8" s="1"/>
  <c r="G9" i="8" s="1"/>
  <c r="C27" i="5"/>
  <c r="C14" i="6" s="1"/>
  <c r="C26" i="6"/>
  <c r="C12" i="7"/>
  <c r="E12" i="20"/>
  <c r="J8" i="8"/>
  <c r="K90" i="8"/>
  <c r="J18" i="18"/>
  <c r="J19" i="18" s="1"/>
  <c r="L29" i="18"/>
  <c r="L31" i="18" s="1"/>
  <c r="L23" i="18"/>
  <c r="L25" i="18" s="1"/>
  <c r="I8" i="19"/>
  <c r="F33" i="18"/>
  <c r="D33" i="19"/>
  <c r="J6" i="19"/>
  <c r="F35" i="7"/>
  <c r="I20" i="19"/>
  <c r="J10" i="19"/>
  <c r="E35" i="7"/>
  <c r="J9" i="19"/>
  <c r="C105" i="9"/>
  <c r="C106" i="9" s="1"/>
  <c r="B85" i="14" s="1"/>
  <c r="E17" i="19"/>
  <c r="E21" i="19" s="1"/>
  <c r="E100" i="8"/>
  <c r="E10" i="8" s="1"/>
  <c r="E42" i="8" s="1"/>
  <c r="E43" i="8" s="1"/>
  <c r="F100" i="8"/>
  <c r="F10" i="8" s="1"/>
  <c r="F42" i="8" s="1"/>
  <c r="F43" i="8" s="1"/>
  <c r="K89" i="8"/>
  <c r="K7" i="8"/>
  <c r="J49" i="8"/>
  <c r="J6" i="22" s="1"/>
  <c r="H18" i="18"/>
  <c r="H19" i="18" s="1"/>
  <c r="H33" i="18" s="1"/>
  <c r="H37" i="18" s="1"/>
  <c r="L102" i="8"/>
  <c r="L88" i="8"/>
  <c r="H91" i="8"/>
  <c r="H100" i="8" s="1"/>
  <c r="H10" i="8" s="1"/>
  <c r="F27" i="19"/>
  <c r="D52" i="18"/>
  <c r="D49" i="18"/>
  <c r="D50" i="18" s="1"/>
  <c r="D51" i="18" s="1"/>
  <c r="B71" i="14"/>
  <c r="C19" i="9"/>
  <c r="C16" i="9"/>
  <c r="C20" i="23"/>
  <c r="D111" i="3"/>
  <c r="D114" i="3"/>
  <c r="C22" i="23"/>
  <c r="D113" i="3"/>
  <c r="J30" i="6"/>
  <c r="J8" i="6"/>
  <c r="J12" i="7"/>
  <c r="J26" i="6"/>
  <c r="J27" i="5"/>
  <c r="J37" i="5"/>
  <c r="I14" i="6"/>
  <c r="I20" i="6"/>
  <c r="F50" i="7"/>
  <c r="F100" i="5"/>
  <c r="F98" i="5"/>
  <c r="F46" i="7"/>
  <c r="F28" i="7"/>
  <c r="F45" i="7"/>
  <c r="F48" i="7"/>
  <c r="F38" i="7"/>
  <c r="F41" i="7"/>
  <c r="F42" i="7"/>
  <c r="F32" i="7"/>
  <c r="F24" i="7"/>
  <c r="F40" i="7"/>
  <c r="F23" i="7"/>
  <c r="F39" i="7"/>
  <c r="F29" i="7"/>
  <c r="F31" i="7"/>
  <c r="F26" i="7"/>
  <c r="F44" i="7"/>
  <c r="F27" i="7"/>
  <c r="F30" i="7"/>
  <c r="F33" i="7"/>
  <c r="F43" i="7"/>
  <c r="F25" i="7"/>
  <c r="F47" i="7"/>
  <c r="C16" i="7"/>
  <c r="C38" i="5"/>
  <c r="C15" i="6" s="1"/>
  <c r="C42" i="5"/>
  <c r="H26" i="6"/>
  <c r="H12" i="7"/>
  <c r="H30" i="6"/>
  <c r="I8" i="6"/>
  <c r="H27" i="5"/>
  <c r="H37" i="5"/>
  <c r="E50" i="7"/>
  <c r="E98" i="5"/>
  <c r="E100" i="5"/>
  <c r="E45" i="7"/>
  <c r="E40" i="7"/>
  <c r="E24" i="7"/>
  <c r="E23" i="7"/>
  <c r="E30" i="7"/>
  <c r="E28" i="7"/>
  <c r="E29" i="7"/>
  <c r="E27" i="7"/>
  <c r="E46" i="7"/>
  <c r="E32" i="7"/>
  <c r="E44" i="7"/>
  <c r="E48" i="7"/>
  <c r="E39" i="7"/>
  <c r="E26" i="7"/>
  <c r="E31" i="7"/>
  <c r="E42" i="7"/>
  <c r="E38" i="7"/>
  <c r="E41" i="7"/>
  <c r="E43" i="7"/>
  <c r="E25" i="7"/>
  <c r="E47" i="7"/>
  <c r="E33" i="7"/>
  <c r="L26" i="6"/>
  <c r="L30" i="6"/>
  <c r="L37" i="5"/>
  <c r="L12" i="7"/>
  <c r="L8" i="6"/>
  <c r="L27" i="5"/>
  <c r="D30" i="6"/>
  <c r="D12" i="7"/>
  <c r="D26" i="6"/>
  <c r="D27" i="5"/>
  <c r="E8" i="6"/>
  <c r="D37" i="5"/>
  <c r="I16" i="7"/>
  <c r="I38" i="5"/>
  <c r="I15" i="6" s="1"/>
  <c r="I42" i="5"/>
  <c r="E100" i="14"/>
  <c r="G119" i="3"/>
  <c r="D33" i="18"/>
  <c r="G30" i="6"/>
  <c r="G12" i="7"/>
  <c r="G26" i="6"/>
  <c r="G27" i="5"/>
  <c r="H8" i="6"/>
  <c r="G37" i="5"/>
  <c r="H50" i="7"/>
  <c r="H98" i="5"/>
  <c r="H100" i="5"/>
  <c r="H32" i="7"/>
  <c r="H26" i="7"/>
  <c r="H31" i="7"/>
  <c r="H42" i="7"/>
  <c r="H44" i="7"/>
  <c r="H39" i="7"/>
  <c r="H38" i="7"/>
  <c r="H23" i="7"/>
  <c r="H46" i="7"/>
  <c r="H27" i="7"/>
  <c r="H29" i="7"/>
  <c r="H25" i="7"/>
  <c r="H30" i="7"/>
  <c r="H41" i="7"/>
  <c r="H43" i="7"/>
  <c r="H40" i="7"/>
  <c r="H24" i="7"/>
  <c r="H45" i="7"/>
  <c r="H28" i="7"/>
  <c r="H48" i="7"/>
  <c r="H33" i="7"/>
  <c r="H47" i="7"/>
  <c r="C50" i="7"/>
  <c r="C98" i="5"/>
  <c r="C100" i="5"/>
  <c r="C27" i="7"/>
  <c r="C26" i="7"/>
  <c r="C41" i="7"/>
  <c r="C24" i="7"/>
  <c r="C45" i="7"/>
  <c r="C43" i="7"/>
  <c r="C42" i="7"/>
  <c r="C38" i="7"/>
  <c r="C30" i="7"/>
  <c r="C48" i="7"/>
  <c r="C39" i="7"/>
  <c r="C28" i="7"/>
  <c r="C40" i="7"/>
  <c r="C32" i="7"/>
  <c r="C46" i="7"/>
  <c r="C31" i="7"/>
  <c r="C44" i="7"/>
  <c r="C23" i="7"/>
  <c r="C29" i="7"/>
  <c r="C33" i="7"/>
  <c r="C25" i="7"/>
  <c r="C47" i="7"/>
  <c r="H49" i="7"/>
  <c r="F7" i="19"/>
  <c r="F34" i="7"/>
  <c r="C34" i="7"/>
  <c r="E26" i="6"/>
  <c r="F8" i="6"/>
  <c r="E12" i="7"/>
  <c r="E30" i="6"/>
  <c r="E27" i="5"/>
  <c r="E37" i="5"/>
  <c r="H6" i="22"/>
  <c r="C49" i="7"/>
  <c r="E14" i="21"/>
  <c r="D45" i="9" s="1"/>
  <c r="D93" i="9" s="1"/>
  <c r="E105" i="8"/>
  <c r="B16" i="9"/>
  <c r="C7" i="3" s="1"/>
  <c r="C65" i="3" s="1"/>
  <c r="B19" i="9"/>
  <c r="B32" i="10"/>
  <c r="K12" i="7"/>
  <c r="K30" i="6"/>
  <c r="K8" i="6"/>
  <c r="K27" i="5"/>
  <c r="K26" i="6"/>
  <c r="K37" i="5"/>
  <c r="F60" i="8"/>
  <c r="D33" i="12"/>
  <c r="C33" i="12"/>
  <c r="D109" i="8"/>
  <c r="D25" i="21"/>
  <c r="D72" i="8" s="1"/>
  <c r="E33" i="18"/>
  <c r="E49" i="7"/>
  <c r="F34" i="9"/>
  <c r="D100" i="8"/>
  <c r="D10" i="8" s="1"/>
  <c r="D42" i="8" s="1"/>
  <c r="D43" i="8" s="1"/>
  <c r="C35" i="7"/>
  <c r="H34" i="7"/>
  <c r="C35" i="12"/>
  <c r="D35" i="12"/>
  <c r="F42" i="5" l="1"/>
  <c r="F38" i="5"/>
  <c r="F15" i="6" s="1"/>
  <c r="F14" i="6"/>
  <c r="D6" i="1"/>
  <c r="F6" i="21"/>
  <c r="E70" i="8"/>
  <c r="D8" i="26"/>
  <c r="B106" i="9"/>
  <c r="C20" i="6"/>
  <c r="F6" i="9"/>
  <c r="G6" i="3" s="1"/>
  <c r="D42" i="1" s="1"/>
  <c r="F18" i="8"/>
  <c r="E12" i="9" s="1"/>
  <c r="F50" i="8"/>
  <c r="E66" i="9" s="1"/>
  <c r="F36" i="18"/>
  <c r="E37" i="18"/>
  <c r="F9" i="8"/>
  <c r="D6" i="9"/>
  <c r="D41" i="9" s="1"/>
  <c r="G50" i="8"/>
  <c r="F66" i="9" s="1"/>
  <c r="E18" i="8"/>
  <c r="D12" i="9" s="1"/>
  <c r="H55" i="8"/>
  <c r="F100" i="14" s="1"/>
  <c r="H7" i="22"/>
  <c r="H9" i="22" s="1"/>
  <c r="E50" i="8"/>
  <c r="D66" i="9" s="1"/>
  <c r="E20" i="8"/>
  <c r="D13" i="9" s="1"/>
  <c r="G42" i="8"/>
  <c r="G43" i="8" s="1"/>
  <c r="G18" i="8"/>
  <c r="F12" i="9" s="1"/>
  <c r="G20" i="8"/>
  <c r="F13" i="9" s="1"/>
  <c r="G14" i="8"/>
  <c r="G52" i="8" s="1"/>
  <c r="F65" i="9" s="1"/>
  <c r="E14" i="8"/>
  <c r="E52" i="8" s="1"/>
  <c r="F37" i="18"/>
  <c r="I38" i="18"/>
  <c r="I37" i="18"/>
  <c r="E9" i="8"/>
  <c r="F14" i="8"/>
  <c r="F52" i="8" s="1"/>
  <c r="E6" i="9"/>
  <c r="F38" i="18"/>
  <c r="J33" i="18"/>
  <c r="J36" i="18" s="1"/>
  <c r="L90" i="8"/>
  <c r="L18" i="18" s="1"/>
  <c r="L19" i="18" s="1"/>
  <c r="K18" i="18"/>
  <c r="K19" i="18" s="1"/>
  <c r="D7" i="1"/>
  <c r="C7" i="1"/>
  <c r="J8" i="19"/>
  <c r="F20" i="8"/>
  <c r="E13" i="9" s="1"/>
  <c r="J51" i="8"/>
  <c r="J55" i="8" s="1"/>
  <c r="J119" i="3" s="1"/>
  <c r="I7" i="22"/>
  <c r="I9" i="22" s="1"/>
  <c r="K10" i="19"/>
  <c r="J20" i="19"/>
  <c r="D26" i="8"/>
  <c r="D28" i="8" s="1"/>
  <c r="H42" i="8"/>
  <c r="H43" i="8" s="1"/>
  <c r="K9" i="19"/>
  <c r="K6" i="19"/>
  <c r="I91" i="8"/>
  <c r="I100" i="8" s="1"/>
  <c r="I10" i="8" s="1"/>
  <c r="L89" i="8"/>
  <c r="L7" i="8"/>
  <c r="K49" i="8"/>
  <c r="K6" i="22" s="1"/>
  <c r="B155" i="10"/>
  <c r="B158" i="10" s="1"/>
  <c r="H49" i="10"/>
  <c r="K49" i="10"/>
  <c r="I49" i="10"/>
  <c r="J49" i="10"/>
  <c r="K97" i="8"/>
  <c r="K99" i="8" s="1"/>
  <c r="K93" i="8"/>
  <c r="K95" i="8" s="1"/>
  <c r="K8" i="8"/>
  <c r="H36" i="18"/>
  <c r="D42" i="18"/>
  <c r="D43" i="18" s="1"/>
  <c r="D53" i="18"/>
  <c r="D55" i="18" s="1"/>
  <c r="E38" i="18"/>
  <c r="G36" i="18"/>
  <c r="G38" i="18"/>
  <c r="D37" i="18"/>
  <c r="B36" i="10"/>
  <c r="B23" i="9"/>
  <c r="C10" i="3"/>
  <c r="E20" i="6"/>
  <c r="E14" i="6"/>
  <c r="D18" i="9"/>
  <c r="E33" i="19"/>
  <c r="E29" i="20" s="1"/>
  <c r="E65" i="8"/>
  <c r="D57" i="9" s="1"/>
  <c r="D16" i="7"/>
  <c r="D42" i="5"/>
  <c r="D9" i="6" s="1"/>
  <c r="D38" i="5"/>
  <c r="D15" i="6" s="1"/>
  <c r="H16" i="7"/>
  <c r="H42" i="5"/>
  <c r="H38" i="5"/>
  <c r="H15" i="6" s="1"/>
  <c r="H20" i="6"/>
  <c r="H14" i="6"/>
  <c r="D36" i="18"/>
  <c r="D20" i="6"/>
  <c r="D14" i="6"/>
  <c r="J16" i="7"/>
  <c r="J42" i="5"/>
  <c r="J38" i="5"/>
  <c r="J15" i="6" s="1"/>
  <c r="B72" i="14"/>
  <c r="D7" i="3"/>
  <c r="D65" i="3" s="1"/>
  <c r="J20" i="6"/>
  <c r="J14" i="6"/>
  <c r="B73" i="14"/>
  <c r="C36" i="10"/>
  <c r="C37" i="10" s="1"/>
  <c r="C23" i="9"/>
  <c r="D10" i="3"/>
  <c r="F12" i="21"/>
  <c r="D39" i="9"/>
  <c r="E36" i="18"/>
  <c r="B98" i="14"/>
  <c r="B99" i="14"/>
  <c r="D20" i="8"/>
  <c r="D50" i="8"/>
  <c r="D12" i="22" s="1"/>
  <c r="D14" i="8"/>
  <c r="D18" i="8"/>
  <c r="D9" i="8"/>
  <c r="B38" i="2"/>
  <c r="K16" i="7"/>
  <c r="K42" i="5"/>
  <c r="K38" i="5"/>
  <c r="K15" i="6" s="1"/>
  <c r="H38" i="18"/>
  <c r="E16" i="7"/>
  <c r="E42" i="5"/>
  <c r="E38" i="5"/>
  <c r="E15" i="6" s="1"/>
  <c r="G16" i="7"/>
  <c r="G42" i="5"/>
  <c r="G9" i="6" s="1"/>
  <c r="G38" i="5"/>
  <c r="G15" i="6" s="1"/>
  <c r="L14" i="6"/>
  <c r="L20" i="6"/>
  <c r="H50" i="8"/>
  <c r="H18" i="8"/>
  <c r="G12" i="9" s="1"/>
  <c r="H14" i="8"/>
  <c r="H20" i="8"/>
  <c r="G13" i="9" s="1"/>
  <c r="G6" i="9"/>
  <c r="H9" i="8"/>
  <c r="K14" i="6"/>
  <c r="K20" i="6"/>
  <c r="F11" i="19"/>
  <c r="D38" i="18"/>
  <c r="G20" i="6"/>
  <c r="G14" i="6"/>
  <c r="I32" i="6"/>
  <c r="I106" i="5"/>
  <c r="I118" i="5" s="1"/>
  <c r="I45" i="5"/>
  <c r="I134" i="5"/>
  <c r="I136" i="5" s="1"/>
  <c r="I18" i="7"/>
  <c r="I43" i="5"/>
  <c r="I16" i="6" s="1"/>
  <c r="I31" i="6"/>
  <c r="C32" i="6"/>
  <c r="C18" i="7"/>
  <c r="C43" i="5"/>
  <c r="C16" i="6" s="1"/>
  <c r="C45" i="5"/>
  <c r="G34" i="9"/>
  <c r="H34" i="9" s="1"/>
  <c r="I34" i="9" s="1"/>
  <c r="J34" i="9" s="1"/>
  <c r="K34" i="9" s="1"/>
  <c r="B103" i="14"/>
  <c r="A90" i="10"/>
  <c r="B139" i="3" s="1"/>
  <c r="A87" i="10"/>
  <c r="B136" i="3" s="1"/>
  <c r="B5" i="11"/>
  <c r="E49" i="10"/>
  <c r="A86" i="10"/>
  <c r="B135" i="3" s="1"/>
  <c r="A88" i="10"/>
  <c r="B137" i="3" s="1"/>
  <c r="A85" i="10"/>
  <c r="B134" i="3" s="1"/>
  <c r="A89" i="10"/>
  <c r="B138" i="3" s="1"/>
  <c r="G49" i="10"/>
  <c r="A91" i="10"/>
  <c r="B140" i="3" s="1"/>
  <c r="F49" i="10"/>
  <c r="C49" i="10"/>
  <c r="D49" i="10"/>
  <c r="B36" i="2"/>
  <c r="F52" i="3"/>
  <c r="F18" i="7"/>
  <c r="F43" i="5"/>
  <c r="F16" i="6" s="1"/>
  <c r="F106" i="5"/>
  <c r="F118" i="5" s="1"/>
  <c r="F134" i="5"/>
  <c r="F136" i="5" s="1"/>
  <c r="F32" i="6"/>
  <c r="F45" i="5"/>
  <c r="F31" i="6"/>
  <c r="E41" i="10"/>
  <c r="F13" i="19"/>
  <c r="E88" i="9"/>
  <c r="E89" i="9" s="1"/>
  <c r="D89" i="14" s="1"/>
  <c r="L16" i="7"/>
  <c r="L38" i="5"/>
  <c r="L15" i="6" s="1"/>
  <c r="L42" i="5"/>
  <c r="D7" i="9"/>
  <c r="F64" i="8"/>
  <c r="G63" i="8" s="1"/>
  <c r="E5" i="26" l="1"/>
  <c r="E10" i="26" s="1"/>
  <c r="F68" i="8"/>
  <c r="F8" i="21"/>
  <c r="C69" i="14"/>
  <c r="E12" i="22"/>
  <c r="E54" i="8"/>
  <c r="D47" i="9" s="1"/>
  <c r="P18" i="6"/>
  <c r="F41" i="9"/>
  <c r="F12" i="22"/>
  <c r="E69" i="14"/>
  <c r="G58" i="3"/>
  <c r="C42" i="1"/>
  <c r="E9" i="9"/>
  <c r="E10" i="9" s="1"/>
  <c r="F54" i="8"/>
  <c r="F14" i="22" s="1"/>
  <c r="H119" i="3"/>
  <c r="C74" i="1"/>
  <c r="D74" i="1"/>
  <c r="N39" i="6"/>
  <c r="E7" i="9"/>
  <c r="F59" i="3" s="1"/>
  <c r="C75" i="1"/>
  <c r="N18" i="6"/>
  <c r="D75" i="1"/>
  <c r="E6" i="3"/>
  <c r="E58" i="3" s="1"/>
  <c r="N6" i="6"/>
  <c r="G12" i="22"/>
  <c r="F82" i="9"/>
  <c r="G13" i="22"/>
  <c r="E21" i="8"/>
  <c r="E22" i="8" s="1"/>
  <c r="F9" i="9"/>
  <c r="F10" i="9" s="1"/>
  <c r="P12" i="6" s="1"/>
  <c r="D9" i="9"/>
  <c r="D10" i="9" s="1"/>
  <c r="D15" i="9" s="1"/>
  <c r="G54" i="8"/>
  <c r="G14" i="22" s="1"/>
  <c r="G21" i="8"/>
  <c r="G22" i="8" s="1"/>
  <c r="O18" i="6"/>
  <c r="O6" i="6"/>
  <c r="F6" i="3"/>
  <c r="C41" i="1" s="1"/>
  <c r="F7" i="9"/>
  <c r="E70" i="14" s="1"/>
  <c r="D69" i="14"/>
  <c r="E41" i="9"/>
  <c r="P6" i="6"/>
  <c r="K33" i="18"/>
  <c r="L33" i="18"/>
  <c r="J38" i="18"/>
  <c r="J37" i="18"/>
  <c r="F21" i="8"/>
  <c r="F22" i="8" s="1"/>
  <c r="K8" i="19"/>
  <c r="K20" i="19"/>
  <c r="L10" i="19"/>
  <c r="L20" i="19" s="1"/>
  <c r="L6" i="19"/>
  <c r="L9" i="19"/>
  <c r="K51" i="8"/>
  <c r="J7" i="22"/>
  <c r="J9" i="22" s="1"/>
  <c r="F17" i="19"/>
  <c r="F21" i="19" s="1"/>
  <c r="L49" i="8"/>
  <c r="L93" i="8"/>
  <c r="L95" i="8" s="1"/>
  <c r="L97" i="8"/>
  <c r="L99" i="8" s="1"/>
  <c r="L8" i="8"/>
  <c r="H6" i="9"/>
  <c r="I18" i="8"/>
  <c r="I50" i="8"/>
  <c r="I14" i="8"/>
  <c r="I9" i="8"/>
  <c r="I20" i="8"/>
  <c r="H13" i="9" s="1"/>
  <c r="J91" i="8"/>
  <c r="J100" i="8" s="1"/>
  <c r="J10" i="8" s="1"/>
  <c r="D21" i="8"/>
  <c r="D22" i="8" s="1"/>
  <c r="D24" i="8" s="1"/>
  <c r="D29" i="8" s="1"/>
  <c r="H21" i="8"/>
  <c r="H22" i="8" s="1"/>
  <c r="D30" i="8" s="1"/>
  <c r="Q18" i="6"/>
  <c r="E18" i="7"/>
  <c r="F9" i="6"/>
  <c r="E32" i="6"/>
  <c r="E45" i="5"/>
  <c r="E134" i="5"/>
  <c r="E136" i="5" s="1"/>
  <c r="E43" i="5"/>
  <c r="E16" i="6" s="1"/>
  <c r="E106" i="5"/>
  <c r="E118" i="5" s="1"/>
  <c r="E31" i="6"/>
  <c r="D10" i="23"/>
  <c r="E30" i="20"/>
  <c r="D40" i="10"/>
  <c r="E11" i="20"/>
  <c r="D78" i="9"/>
  <c r="N19" i="6"/>
  <c r="D8" i="23"/>
  <c r="C70" i="14"/>
  <c r="D52" i="1"/>
  <c r="C52" i="1"/>
  <c r="E59" i="3"/>
  <c r="C81" i="14"/>
  <c r="D92" i="9"/>
  <c r="E109" i="8"/>
  <c r="E82" i="9"/>
  <c r="D82" i="9"/>
  <c r="H54" i="8"/>
  <c r="G9" i="9"/>
  <c r="G10" i="9" s="1"/>
  <c r="H52" i="8"/>
  <c r="K32" i="6"/>
  <c r="K134" i="5"/>
  <c r="K136" i="5" s="1"/>
  <c r="K18" i="7"/>
  <c r="K45" i="5"/>
  <c r="K9" i="6"/>
  <c r="K106" i="5"/>
  <c r="K118" i="5" s="1"/>
  <c r="K43" i="5"/>
  <c r="K16" i="6" s="1"/>
  <c r="K31" i="6"/>
  <c r="E13" i="22"/>
  <c r="D65" i="9"/>
  <c r="F33" i="6"/>
  <c r="H12" i="22"/>
  <c r="G66" i="9"/>
  <c r="F14" i="21"/>
  <c r="E45" i="9" s="1"/>
  <c r="E93" i="9" s="1"/>
  <c r="F105" i="8"/>
  <c r="H18" i="7"/>
  <c r="I9" i="6"/>
  <c r="H106" i="5"/>
  <c r="H118" i="5" s="1"/>
  <c r="H45" i="5"/>
  <c r="H32" i="6"/>
  <c r="H43" i="5"/>
  <c r="H16" i="6" s="1"/>
  <c r="H134" i="5"/>
  <c r="H136" i="5" s="1"/>
  <c r="H31" i="6"/>
  <c r="C19" i="20"/>
  <c r="C10" i="20"/>
  <c r="C13" i="20" s="1"/>
  <c r="C15" i="20" s="1"/>
  <c r="C16" i="20" s="1"/>
  <c r="B27" i="9"/>
  <c r="G27" i="19"/>
  <c r="F12" i="20"/>
  <c r="G7" i="19"/>
  <c r="F52" i="6"/>
  <c r="F51" i="6"/>
  <c r="F50" i="6"/>
  <c r="F138" i="5"/>
  <c r="F141" i="5" s="1"/>
  <c r="F143" i="5" s="1"/>
  <c r="G41" i="9"/>
  <c r="F69" i="14"/>
  <c r="G7" i="9"/>
  <c r="Q6" i="6"/>
  <c r="H6" i="3"/>
  <c r="I52" i="6"/>
  <c r="I138" i="5"/>
  <c r="I141" i="5" s="1"/>
  <c r="I143" i="5" s="1"/>
  <c r="I50" i="6"/>
  <c r="I51" i="6"/>
  <c r="D19" i="20"/>
  <c r="D10" i="20"/>
  <c r="D13" i="20" s="1"/>
  <c r="D14" i="20" s="1"/>
  <c r="B75" i="14"/>
  <c r="C27" i="9"/>
  <c r="D18" i="7"/>
  <c r="D32" i="6"/>
  <c r="E9" i="6"/>
  <c r="D106" i="5"/>
  <c r="D118" i="5" s="1"/>
  <c r="D134" i="5"/>
  <c r="D136" i="5" s="1"/>
  <c r="D43" i="5"/>
  <c r="D16" i="6" s="1"/>
  <c r="D45" i="5"/>
  <c r="D31" i="6"/>
  <c r="I33" i="6"/>
  <c r="C38" i="10"/>
  <c r="C46" i="10" s="1"/>
  <c r="C114" i="10" s="1"/>
  <c r="C118" i="10" s="1"/>
  <c r="L18" i="7"/>
  <c r="L9" i="6"/>
  <c r="L32" i="6"/>
  <c r="L45" i="5"/>
  <c r="L106" i="5"/>
  <c r="L118" i="5" s="1"/>
  <c r="L43" i="5"/>
  <c r="L16" i="6" s="1"/>
  <c r="L134" i="5"/>
  <c r="L136" i="5" s="1"/>
  <c r="L31" i="6"/>
  <c r="G60" i="8"/>
  <c r="G64" i="8" s="1"/>
  <c r="H63" i="8" s="1"/>
  <c r="P36" i="6"/>
  <c r="P44" i="6" s="1"/>
  <c r="A15" i="11"/>
  <c r="A13" i="11"/>
  <c r="A11" i="11"/>
  <c r="A14" i="11"/>
  <c r="A12" i="11"/>
  <c r="J18" i="7"/>
  <c r="J134" i="5"/>
  <c r="J136" i="5" s="1"/>
  <c r="J106" i="5"/>
  <c r="J118" i="5" s="1"/>
  <c r="J32" i="6"/>
  <c r="J9" i="6"/>
  <c r="J45" i="5"/>
  <c r="J43" i="5"/>
  <c r="J16" i="6" s="1"/>
  <c r="J31" i="6"/>
  <c r="G18" i="7"/>
  <c r="G32" i="6"/>
  <c r="G134" i="5"/>
  <c r="G136" i="5" s="1"/>
  <c r="G43" i="5"/>
  <c r="G16" i="6" s="1"/>
  <c r="G106" i="5"/>
  <c r="G118" i="5" s="1"/>
  <c r="G45" i="5"/>
  <c r="H9" i="6"/>
  <c r="G31" i="6"/>
  <c r="F13" i="22"/>
  <c r="E65" i="9"/>
  <c r="C33" i="1"/>
  <c r="D52" i="8"/>
  <c r="D13" i="22" s="1"/>
  <c r="D54" i="8"/>
  <c r="D14" i="22" s="1"/>
  <c r="D33" i="1"/>
  <c r="C82" i="14"/>
  <c r="D62" i="9"/>
  <c r="D21" i="23"/>
  <c r="E112" i="3"/>
  <c r="G6" i="21" l="1"/>
  <c r="F70" i="8"/>
  <c r="F108" i="8"/>
  <c r="E8" i="26"/>
  <c r="C40" i="1"/>
  <c r="E19" i="22"/>
  <c r="E21" i="22" s="1"/>
  <c r="E14" i="22"/>
  <c r="E15" i="22" s="1"/>
  <c r="G19" i="22"/>
  <c r="G21" i="22" s="1"/>
  <c r="N38" i="6"/>
  <c r="N46" i="6" s="1"/>
  <c r="E64" i="3"/>
  <c r="D70" i="14"/>
  <c r="F15" i="9"/>
  <c r="E71" i="14" s="1"/>
  <c r="O12" i="6"/>
  <c r="E15" i="9"/>
  <c r="O7" i="6" s="1"/>
  <c r="G64" i="3"/>
  <c r="O38" i="6"/>
  <c r="O46" i="6" s="1"/>
  <c r="E47" i="9"/>
  <c r="O37" i="6" s="1"/>
  <c r="O45" i="6" s="1"/>
  <c r="F47" i="9"/>
  <c r="F43" i="10" s="1"/>
  <c r="F58" i="3"/>
  <c r="D40" i="1"/>
  <c r="N37" i="6"/>
  <c r="N45" i="6" s="1"/>
  <c r="P38" i="6"/>
  <c r="P46" i="6" s="1"/>
  <c r="G15" i="22"/>
  <c r="N12" i="6"/>
  <c r="G59" i="3"/>
  <c r="D41" i="1"/>
  <c r="F64" i="3"/>
  <c r="R18" i="6"/>
  <c r="L33" i="6"/>
  <c r="R6" i="6"/>
  <c r="L37" i="18"/>
  <c r="L38" i="18"/>
  <c r="L36" i="18"/>
  <c r="K38" i="18"/>
  <c r="K37" i="18"/>
  <c r="K36" i="18"/>
  <c r="D33" i="6"/>
  <c r="L8" i="19"/>
  <c r="K33" i="6"/>
  <c r="H66" i="9"/>
  <c r="H82" i="9" s="1"/>
  <c r="I12" i="22"/>
  <c r="L51" i="8"/>
  <c r="L7" i="22" s="1"/>
  <c r="K7" i="22"/>
  <c r="K9" i="22" s="1"/>
  <c r="K55" i="8"/>
  <c r="K119" i="3" s="1"/>
  <c r="J33" i="6"/>
  <c r="L6" i="22"/>
  <c r="H33" i="6"/>
  <c r="E18" i="9"/>
  <c r="C34" i="1" s="1"/>
  <c r="F65" i="8"/>
  <c r="E57" i="9" s="1"/>
  <c r="E62" i="9" s="1"/>
  <c r="D31" i="8"/>
  <c r="H9" i="9"/>
  <c r="I52" i="8"/>
  <c r="I54" i="8"/>
  <c r="I6" i="3"/>
  <c r="I58" i="3" s="1"/>
  <c r="H7" i="9"/>
  <c r="I59" i="3" s="1"/>
  <c r="H41" i="9"/>
  <c r="G82" i="9"/>
  <c r="I21" i="8"/>
  <c r="I22" i="8" s="1"/>
  <c r="H12" i="9"/>
  <c r="J18" i="8"/>
  <c r="I12" i="9" s="1"/>
  <c r="I6" i="9"/>
  <c r="J9" i="8"/>
  <c r="J50" i="8"/>
  <c r="J14" i="8"/>
  <c r="J20" i="8"/>
  <c r="I13" i="9" s="1"/>
  <c r="L91" i="8"/>
  <c r="L100" i="8" s="1"/>
  <c r="L10" i="8" s="1"/>
  <c r="K91" i="8"/>
  <c r="K100" i="8" s="1"/>
  <c r="K10" i="8" s="1"/>
  <c r="F15" i="22"/>
  <c r="D15" i="22"/>
  <c r="H60" i="8"/>
  <c r="H64" i="8" s="1"/>
  <c r="I63" i="8" s="1"/>
  <c r="L51" i="6"/>
  <c r="L138" i="5"/>
  <c r="L141" i="5" s="1"/>
  <c r="L52" i="6"/>
  <c r="L50" i="6"/>
  <c r="D19" i="22"/>
  <c r="D83" i="9"/>
  <c r="B92" i="14"/>
  <c r="C50" i="10"/>
  <c r="D138" i="5"/>
  <c r="D141" i="5" s="1"/>
  <c r="D143" i="5" s="1"/>
  <c r="D51" i="6"/>
  <c r="D50" i="6"/>
  <c r="D52" i="6"/>
  <c r="C43" i="1"/>
  <c r="H58" i="3"/>
  <c r="D43" i="1"/>
  <c r="K50" i="6"/>
  <c r="K52" i="6"/>
  <c r="K51" i="6"/>
  <c r="K138" i="5"/>
  <c r="K141" i="5" s="1"/>
  <c r="K143" i="5" s="1"/>
  <c r="E33" i="6"/>
  <c r="B76" i="14"/>
  <c r="C77" i="9"/>
  <c r="C85" i="9" s="1"/>
  <c r="C28" i="9"/>
  <c r="D8" i="3"/>
  <c r="C7" i="23"/>
  <c r="C11" i="23" s="1"/>
  <c r="C19" i="23" s="1"/>
  <c r="D117" i="3"/>
  <c r="D118" i="3"/>
  <c r="C94" i="9"/>
  <c r="C95" i="9" s="1"/>
  <c r="B90" i="14" s="1"/>
  <c r="F81" i="9"/>
  <c r="O36" i="6"/>
  <c r="O44" i="6" s="1"/>
  <c r="G11" i="19"/>
  <c r="F19" i="22"/>
  <c r="G33" i="6"/>
  <c r="H50" i="6"/>
  <c r="H51" i="6"/>
  <c r="H138" i="5"/>
  <c r="H141" i="5" s="1"/>
  <c r="H143" i="5" s="1"/>
  <c r="H52" i="6"/>
  <c r="F70" i="14"/>
  <c r="H59" i="3"/>
  <c r="D15" i="20"/>
  <c r="D16" i="20" s="1"/>
  <c r="G15" i="9"/>
  <c r="Q12" i="6"/>
  <c r="H64" i="3"/>
  <c r="D43" i="10"/>
  <c r="D44" i="10" s="1"/>
  <c r="E81" i="9"/>
  <c r="D81" i="9"/>
  <c r="N36" i="6"/>
  <c r="N44" i="6" s="1"/>
  <c r="F28" i="20"/>
  <c r="D40" i="9"/>
  <c r="J51" i="6"/>
  <c r="J52" i="6"/>
  <c r="J50" i="6"/>
  <c r="J138" i="5"/>
  <c r="J141" i="5" s="1"/>
  <c r="J143" i="5" s="1"/>
  <c r="D20" i="20"/>
  <c r="H13" i="22"/>
  <c r="H19" i="22" s="1"/>
  <c r="G65" i="9"/>
  <c r="B28" i="9"/>
  <c r="C66" i="3" s="1"/>
  <c r="C8" i="3"/>
  <c r="G12" i="21"/>
  <c r="E39" i="9"/>
  <c r="G51" i="6"/>
  <c r="G50" i="6"/>
  <c r="G52" i="6"/>
  <c r="G138" i="5"/>
  <c r="G141" i="5" s="1"/>
  <c r="G143" i="5" s="1"/>
  <c r="H14" i="22"/>
  <c r="G47" i="9"/>
  <c r="Q37" i="6" s="1"/>
  <c r="Q45" i="6" s="1"/>
  <c r="E52" i="6"/>
  <c r="E50" i="6"/>
  <c r="E51" i="6"/>
  <c r="E138" i="5"/>
  <c r="E141" i="5" s="1"/>
  <c r="E143" i="5" s="1"/>
  <c r="F33" i="19"/>
  <c r="F29" i="20" s="1"/>
  <c r="E10" i="23" s="1"/>
  <c r="F41" i="10"/>
  <c r="G13" i="19"/>
  <c r="H27" i="19" s="1"/>
  <c r="F88" i="9"/>
  <c r="F89" i="9" s="1"/>
  <c r="E89" i="14" s="1"/>
  <c r="C20" i="20"/>
  <c r="C25" i="20" s="1"/>
  <c r="C71" i="14"/>
  <c r="C31" i="12"/>
  <c r="C32" i="12" s="1"/>
  <c r="C36" i="12" s="1"/>
  <c r="C39" i="12" s="1"/>
  <c r="C42" i="12" s="1"/>
  <c r="C48" i="12" s="1"/>
  <c r="D31" i="12"/>
  <c r="D32" i="12" s="1"/>
  <c r="D36" i="12" s="1"/>
  <c r="D39" i="12" s="1"/>
  <c r="D42" i="12" s="1"/>
  <c r="D48" i="12" s="1"/>
  <c r="B31" i="12"/>
  <c r="B32" i="12" s="1"/>
  <c r="B36" i="12" s="1"/>
  <c r="B39" i="12" s="1"/>
  <c r="B42" i="12" s="1"/>
  <c r="B48" i="12" s="1"/>
  <c r="D19" i="9"/>
  <c r="D16" i="9"/>
  <c r="N7" i="6"/>
  <c r="F5" i="26" l="1"/>
  <c r="F10" i="26" s="1"/>
  <c r="G8" i="21"/>
  <c r="G68" i="8"/>
  <c r="E20" i="22"/>
  <c r="E22" i="22" s="1"/>
  <c r="E21" i="23"/>
  <c r="P7" i="6"/>
  <c r="G20" i="22"/>
  <c r="G22" i="22" s="1"/>
  <c r="F16" i="9"/>
  <c r="E72" i="14" s="1"/>
  <c r="F83" i="9"/>
  <c r="E16" i="9"/>
  <c r="D72" i="14" s="1"/>
  <c r="D71" i="14"/>
  <c r="P37" i="6"/>
  <c r="P45" i="6" s="1"/>
  <c r="P47" i="6" s="1"/>
  <c r="E83" i="9"/>
  <c r="O47" i="6"/>
  <c r="E43" i="10"/>
  <c r="D77" i="1" s="1"/>
  <c r="D76" i="1"/>
  <c r="C76" i="1"/>
  <c r="N47" i="6"/>
  <c r="G16" i="22"/>
  <c r="S18" i="6"/>
  <c r="S6" i="6"/>
  <c r="E40" i="10"/>
  <c r="E8" i="23"/>
  <c r="H10" i="9"/>
  <c r="R12" i="6" s="1"/>
  <c r="L9" i="22"/>
  <c r="L55" i="8"/>
  <c r="L119" i="3" s="1"/>
  <c r="O19" i="6"/>
  <c r="E78" i="9"/>
  <c r="O39" i="6"/>
  <c r="I66" i="9"/>
  <c r="I82" i="9" s="1"/>
  <c r="J12" i="22"/>
  <c r="H47" i="9"/>
  <c r="H83" i="9" s="1"/>
  <c r="I14" i="22"/>
  <c r="F112" i="3"/>
  <c r="H65" i="9"/>
  <c r="R36" i="6" s="1"/>
  <c r="R44" i="6" s="1"/>
  <c r="I13" i="22"/>
  <c r="I19" i="22" s="1"/>
  <c r="D82" i="14"/>
  <c r="F11" i="20"/>
  <c r="D23" i="20"/>
  <c r="D110" i="3" s="1"/>
  <c r="E19" i="9"/>
  <c r="E36" i="10" s="1"/>
  <c r="E37" i="10" s="1"/>
  <c r="D34" i="1"/>
  <c r="I60" i="8"/>
  <c r="I64" i="8" s="1"/>
  <c r="J63" i="8" s="1"/>
  <c r="G17" i="19"/>
  <c r="G21" i="19" s="1"/>
  <c r="F16" i="22"/>
  <c r="K6" i="9"/>
  <c r="L50" i="8"/>
  <c r="L9" i="8"/>
  <c r="L14" i="8"/>
  <c r="L18" i="8"/>
  <c r="K12" i="9" s="1"/>
  <c r="L20" i="8"/>
  <c r="K13" i="9" s="1"/>
  <c r="J21" i="8"/>
  <c r="J22" i="8" s="1"/>
  <c r="J6" i="9"/>
  <c r="K20" i="8"/>
  <c r="J13" i="9" s="1"/>
  <c r="K50" i="8"/>
  <c r="K18" i="8"/>
  <c r="J12" i="9" s="1"/>
  <c r="K9" i="8"/>
  <c r="K14" i="8"/>
  <c r="E16" i="22"/>
  <c r="I9" i="9"/>
  <c r="J54" i="8"/>
  <c r="J52" i="8"/>
  <c r="Q38" i="6"/>
  <c r="Q46" i="6" s="1"/>
  <c r="J6" i="3"/>
  <c r="J58" i="3" s="1"/>
  <c r="I41" i="9"/>
  <c r="I7" i="9"/>
  <c r="J59" i="3" s="1"/>
  <c r="F30" i="20"/>
  <c r="G28" i="20" s="1"/>
  <c r="H21" i="22"/>
  <c r="H20" i="22"/>
  <c r="D25" i="20"/>
  <c r="H15" i="22"/>
  <c r="H16" i="22" s="1"/>
  <c r="F20" i="22"/>
  <c r="F21" i="22"/>
  <c r="L143" i="5"/>
  <c r="D15" i="1"/>
  <c r="C15" i="1"/>
  <c r="B77" i="14"/>
  <c r="D66" i="3"/>
  <c r="B88" i="14"/>
  <c r="C97" i="9"/>
  <c r="B91" i="14" s="1"/>
  <c r="C100" i="9"/>
  <c r="G83" i="9"/>
  <c r="F71" i="14"/>
  <c r="G16" i="9"/>
  <c r="Q7" i="6"/>
  <c r="H7" i="19"/>
  <c r="B96" i="14"/>
  <c r="B95" i="14"/>
  <c r="F109" i="8"/>
  <c r="C23" i="20"/>
  <c r="C24" i="20" s="1"/>
  <c r="E92" i="9"/>
  <c r="D81" i="14"/>
  <c r="D84" i="9"/>
  <c r="D42" i="9"/>
  <c r="G14" i="21"/>
  <c r="G105" i="8"/>
  <c r="G43" i="10"/>
  <c r="G44" i="10" s="1"/>
  <c r="G81" i="9"/>
  <c r="Q36" i="6"/>
  <c r="Q44" i="6" s="1"/>
  <c r="D20" i="22"/>
  <c r="D21" i="22"/>
  <c r="C72" i="14"/>
  <c r="N13" i="6"/>
  <c r="C53" i="1"/>
  <c r="E7" i="3"/>
  <c r="E65" i="3" s="1"/>
  <c r="D53" i="1"/>
  <c r="C73" i="14"/>
  <c r="D36" i="10"/>
  <c r="D37" i="10" s="1"/>
  <c r="N8" i="6"/>
  <c r="N20" i="6"/>
  <c r="N14" i="6"/>
  <c r="G12" i="20"/>
  <c r="H13" i="19"/>
  <c r="H12" i="20" s="1"/>
  <c r="G41" i="10"/>
  <c r="G88" i="9"/>
  <c r="G89" i="9" s="1"/>
  <c r="F89" i="14" s="1"/>
  <c r="F8" i="26" l="1"/>
  <c r="G108" i="8"/>
  <c r="H6" i="21"/>
  <c r="G70" i="8"/>
  <c r="O13" i="6"/>
  <c r="F7" i="3"/>
  <c r="F65" i="3" s="1"/>
  <c r="G109" i="8"/>
  <c r="F45" i="9"/>
  <c r="F93" i="9" s="1"/>
  <c r="P13" i="6"/>
  <c r="E44" i="10"/>
  <c r="F44" i="10"/>
  <c r="G7" i="3"/>
  <c r="G65" i="3" s="1"/>
  <c r="T18" i="6"/>
  <c r="C77" i="1"/>
  <c r="U18" i="6"/>
  <c r="R37" i="6"/>
  <c r="R45" i="6" s="1"/>
  <c r="I10" i="9"/>
  <c r="S12" i="6" s="1"/>
  <c r="U6" i="6"/>
  <c r="R38" i="6"/>
  <c r="R46" i="6" s="1"/>
  <c r="H15" i="9"/>
  <c r="R7" i="6" s="1"/>
  <c r="D24" i="20"/>
  <c r="O20" i="6"/>
  <c r="O14" i="6"/>
  <c r="I64" i="3"/>
  <c r="O8" i="6"/>
  <c r="D73" i="14"/>
  <c r="T6" i="6"/>
  <c r="H43" i="10"/>
  <c r="H44" i="10" s="1"/>
  <c r="I21" i="22"/>
  <c r="I20" i="22"/>
  <c r="I15" i="22"/>
  <c r="I16" i="22" s="1"/>
  <c r="H81" i="9"/>
  <c r="I65" i="9"/>
  <c r="J13" i="22"/>
  <c r="I47" i="9"/>
  <c r="I83" i="9" s="1"/>
  <c r="J14" i="22"/>
  <c r="J66" i="9"/>
  <c r="J82" i="9" s="1"/>
  <c r="K12" i="22"/>
  <c r="K66" i="9"/>
  <c r="L12" i="22"/>
  <c r="H17" i="19"/>
  <c r="H21" i="19" s="1"/>
  <c r="I7" i="19"/>
  <c r="J60" i="8"/>
  <c r="J64" i="8" s="1"/>
  <c r="K63" i="8" s="1"/>
  <c r="E40" i="9"/>
  <c r="E84" i="9" s="1"/>
  <c r="I13" i="19"/>
  <c r="H41" i="10"/>
  <c r="H88" i="9"/>
  <c r="H89" i="9" s="1"/>
  <c r="I27" i="19"/>
  <c r="L21" i="8"/>
  <c r="L22" i="8" s="1"/>
  <c r="J7" i="9"/>
  <c r="K59" i="3" s="1"/>
  <c r="K6" i="3"/>
  <c r="K58" i="3" s="1"/>
  <c r="J41" i="9"/>
  <c r="H22" i="22"/>
  <c r="K21" i="8"/>
  <c r="K22" i="8" s="1"/>
  <c r="J9" i="9"/>
  <c r="K54" i="8"/>
  <c r="K52" i="8"/>
  <c r="K9" i="9"/>
  <c r="L52" i="8"/>
  <c r="L54" i="8"/>
  <c r="Q47" i="6"/>
  <c r="L6" i="3"/>
  <c r="L58" i="3" s="1"/>
  <c r="K41" i="9"/>
  <c r="K7" i="9"/>
  <c r="L59" i="3" s="1"/>
  <c r="D22" i="22"/>
  <c r="H11" i="19"/>
  <c r="D38" i="10"/>
  <c r="D46" i="10" s="1"/>
  <c r="H12" i="21"/>
  <c r="F18" i="9"/>
  <c r="C35" i="1" s="1"/>
  <c r="G65" i="8"/>
  <c r="F57" i="9" s="1"/>
  <c r="G33" i="19"/>
  <c r="G29" i="20" s="1"/>
  <c r="F10" i="23" s="1"/>
  <c r="E38" i="10"/>
  <c r="F22" i="22"/>
  <c r="F72" i="14"/>
  <c r="Q13" i="6"/>
  <c r="H7" i="3"/>
  <c r="H65" i="3" s="1"/>
  <c r="G5" i="26" l="1"/>
  <c r="G10" i="26" s="1"/>
  <c r="H8" i="21"/>
  <c r="H68" i="8"/>
  <c r="F39" i="9"/>
  <c r="F92" i="9" s="1"/>
  <c r="E46" i="10"/>
  <c r="E114" i="10" s="1"/>
  <c r="E118" i="10" s="1"/>
  <c r="R47" i="6"/>
  <c r="J64" i="3"/>
  <c r="I15" i="9"/>
  <c r="S7" i="6" s="1"/>
  <c r="K10" i="9"/>
  <c r="U12" i="6" s="1"/>
  <c r="H16" i="9"/>
  <c r="J10" i="9"/>
  <c r="T12" i="6" s="1"/>
  <c r="S37" i="6"/>
  <c r="S45" i="6" s="1"/>
  <c r="I81" i="9"/>
  <c r="S36" i="6"/>
  <c r="S44" i="6" s="1"/>
  <c r="S38" i="6"/>
  <c r="S46" i="6" s="1"/>
  <c r="J15" i="22"/>
  <c r="J16" i="22" s="1"/>
  <c r="K82" i="9"/>
  <c r="I22" i="22"/>
  <c r="J19" i="22"/>
  <c r="I43" i="10"/>
  <c r="I44" i="10" s="1"/>
  <c r="K47" i="9"/>
  <c r="U37" i="6" s="1"/>
  <c r="U45" i="6" s="1"/>
  <c r="L14" i="22"/>
  <c r="E42" i="9"/>
  <c r="J47" i="9"/>
  <c r="J83" i="9" s="1"/>
  <c r="K14" i="22"/>
  <c r="J65" i="9"/>
  <c r="K13" i="22"/>
  <c r="K19" i="22" s="1"/>
  <c r="K65" i="9"/>
  <c r="U36" i="6" s="1"/>
  <c r="U44" i="6" s="1"/>
  <c r="L13" i="22"/>
  <c r="J27" i="19"/>
  <c r="I12" i="20"/>
  <c r="K60" i="8"/>
  <c r="K64" i="8" s="1"/>
  <c r="L63" i="8" s="1"/>
  <c r="L60" i="8" s="1"/>
  <c r="I41" i="10"/>
  <c r="I88" i="9"/>
  <c r="I89" i="9" s="1"/>
  <c r="J13" i="19"/>
  <c r="I17" i="19"/>
  <c r="I21" i="19" s="1"/>
  <c r="J7" i="19"/>
  <c r="I11" i="19"/>
  <c r="D114" i="10"/>
  <c r="D118" i="10" s="1"/>
  <c r="G30" i="20"/>
  <c r="H28" i="20" s="1"/>
  <c r="D35" i="1"/>
  <c r="C92" i="14"/>
  <c r="D50" i="10"/>
  <c r="H14" i="21"/>
  <c r="G45" i="9" s="1"/>
  <c r="G93" i="9" s="1"/>
  <c r="H105" i="8"/>
  <c r="F40" i="10"/>
  <c r="G11" i="20"/>
  <c r="F78" i="9"/>
  <c r="P19" i="6"/>
  <c r="F8" i="23"/>
  <c r="F19" i="9"/>
  <c r="E82" i="14"/>
  <c r="F62" i="9"/>
  <c r="P39" i="6"/>
  <c r="H33" i="19"/>
  <c r="H29" i="20" s="1"/>
  <c r="G10" i="23" s="1"/>
  <c r="H65" i="8"/>
  <c r="G57" i="9" s="1"/>
  <c r="G18" i="9"/>
  <c r="C36" i="1" s="1"/>
  <c r="H70" i="8" l="1"/>
  <c r="H108" i="8"/>
  <c r="I6" i="21"/>
  <c r="G8" i="26"/>
  <c r="E81" i="14"/>
  <c r="G112" i="3"/>
  <c r="F21" i="23"/>
  <c r="E50" i="10"/>
  <c r="D92" i="14"/>
  <c r="I16" i="9"/>
  <c r="J7" i="3" s="1"/>
  <c r="J65" i="3" s="1"/>
  <c r="K64" i="3"/>
  <c r="J15" i="9"/>
  <c r="T7" i="6" s="1"/>
  <c r="J43" i="10"/>
  <c r="J44" i="10" s="1"/>
  <c r="T36" i="6"/>
  <c r="T44" i="6" s="1"/>
  <c r="S47" i="6"/>
  <c r="T38" i="6"/>
  <c r="T46" i="6" s="1"/>
  <c r="K15" i="22"/>
  <c r="K16" i="22" s="1"/>
  <c r="T37" i="6"/>
  <c r="T45" i="6" s="1"/>
  <c r="L64" i="3"/>
  <c r="I7" i="3"/>
  <c r="I65" i="3" s="1"/>
  <c r="R13" i="6"/>
  <c r="K43" i="10"/>
  <c r="K15" i="9"/>
  <c r="U38" i="6"/>
  <c r="U46" i="6" s="1"/>
  <c r="U47" i="6" s="1"/>
  <c r="K83" i="9"/>
  <c r="J81" i="9"/>
  <c r="L15" i="22"/>
  <c r="K20" i="22"/>
  <c r="K21" i="22"/>
  <c r="K81" i="9"/>
  <c r="L19" i="22"/>
  <c r="H109" i="8"/>
  <c r="I12" i="21"/>
  <c r="J20" i="22"/>
  <c r="J21" i="22"/>
  <c r="I65" i="8"/>
  <c r="H57" i="9" s="1"/>
  <c r="R39" i="6" s="1"/>
  <c r="H18" i="9"/>
  <c r="I33" i="19"/>
  <c r="I29" i="20" s="1"/>
  <c r="H10" i="23" s="1"/>
  <c r="L64" i="8"/>
  <c r="K41" i="10"/>
  <c r="L13" i="19"/>
  <c r="K88" i="9"/>
  <c r="K89" i="9" s="1"/>
  <c r="J88" i="9"/>
  <c r="J89" i="9" s="1"/>
  <c r="J41" i="10"/>
  <c r="K13" i="19"/>
  <c r="J17" i="19"/>
  <c r="J21" i="19" s="1"/>
  <c r="K7" i="19"/>
  <c r="J11" i="19"/>
  <c r="K27" i="19"/>
  <c r="J12" i="20"/>
  <c r="F40" i="9"/>
  <c r="F82" i="14"/>
  <c r="G62" i="9"/>
  <c r="Q39" i="6"/>
  <c r="G40" i="10"/>
  <c r="H11" i="20"/>
  <c r="G78" i="9"/>
  <c r="Q19" i="6"/>
  <c r="G8" i="23"/>
  <c r="G19" i="9"/>
  <c r="D36" i="1"/>
  <c r="G39" i="9"/>
  <c r="G21" i="23" s="1"/>
  <c r="E73" i="14"/>
  <c r="F36" i="10"/>
  <c r="F37" i="10" s="1"/>
  <c r="P14" i="6"/>
  <c r="P20" i="6"/>
  <c r="P8" i="6"/>
  <c r="H30" i="20"/>
  <c r="H5" i="26" l="1"/>
  <c r="H10" i="26" s="1"/>
  <c r="I8" i="21"/>
  <c r="I68" i="8"/>
  <c r="S13" i="6"/>
  <c r="U7" i="6"/>
  <c r="K44" i="10"/>
  <c r="J16" i="9"/>
  <c r="K7" i="3" s="1"/>
  <c r="K65" i="3" s="1"/>
  <c r="B96" i="10"/>
  <c r="B98" i="10" s="1"/>
  <c r="K16" i="9"/>
  <c r="L7" i="3" s="1"/>
  <c r="L65" i="3" s="1"/>
  <c r="B105" i="3"/>
  <c r="L16" i="22"/>
  <c r="T47" i="6"/>
  <c r="H8" i="23"/>
  <c r="R19" i="6"/>
  <c r="J22" i="22"/>
  <c r="L20" i="22"/>
  <c r="L21" i="22"/>
  <c r="I105" i="8"/>
  <c r="I14" i="21"/>
  <c r="H45" i="9" s="1"/>
  <c r="H93" i="9" s="1"/>
  <c r="H112" i="3"/>
  <c r="K22" i="22"/>
  <c r="H62" i="9"/>
  <c r="G40" i="9"/>
  <c r="G84" i="9" s="1"/>
  <c r="I28" i="20"/>
  <c r="I30" i="20" s="1"/>
  <c r="L27" i="19"/>
  <c r="L12" i="20" s="1"/>
  <c r="K12" i="20"/>
  <c r="I11" i="20"/>
  <c r="H40" i="10"/>
  <c r="H78" i="9"/>
  <c r="H19" i="9"/>
  <c r="K17" i="19"/>
  <c r="K21" i="19" s="1"/>
  <c r="L7" i="19"/>
  <c r="K11" i="19"/>
  <c r="C68" i="1"/>
  <c r="J65" i="8"/>
  <c r="I57" i="9" s="1"/>
  <c r="S39" i="6" s="1"/>
  <c r="I18" i="9"/>
  <c r="S19" i="6" s="1"/>
  <c r="J33" i="19"/>
  <c r="J29" i="20" s="1"/>
  <c r="I10" i="23" s="1"/>
  <c r="D68" i="1"/>
  <c r="F84" i="9"/>
  <c r="F42" i="9"/>
  <c r="F38" i="10"/>
  <c r="F46" i="10" s="1"/>
  <c r="F81" i="14"/>
  <c r="G92" i="9"/>
  <c r="F73" i="14"/>
  <c r="G36" i="10"/>
  <c r="G37" i="10" s="1"/>
  <c r="Q20" i="6"/>
  <c r="Q14" i="6"/>
  <c r="Q8" i="6"/>
  <c r="I70" i="8" l="1"/>
  <c r="I108" i="8"/>
  <c r="J6" i="21"/>
  <c r="H8" i="26"/>
  <c r="T13" i="6"/>
  <c r="U13" i="6"/>
  <c r="R20" i="6"/>
  <c r="R14" i="6"/>
  <c r="R8" i="6"/>
  <c r="D69" i="1"/>
  <c r="I8" i="23"/>
  <c r="G42" i="9"/>
  <c r="J12" i="21"/>
  <c r="H39" i="9"/>
  <c r="L22" i="22"/>
  <c r="I109" i="8"/>
  <c r="I62" i="9"/>
  <c r="J28" i="20"/>
  <c r="J30" i="20" s="1"/>
  <c r="H40" i="9"/>
  <c r="J11" i="20"/>
  <c r="I40" i="10"/>
  <c r="I78" i="9"/>
  <c r="I19" i="9"/>
  <c r="H36" i="10"/>
  <c r="H37" i="10" s="1"/>
  <c r="H38" i="10" s="1"/>
  <c r="H46" i="10" s="1"/>
  <c r="C69" i="1"/>
  <c r="K65" i="8"/>
  <c r="J57" i="9" s="1"/>
  <c r="T39" i="6" s="1"/>
  <c r="J18" i="9"/>
  <c r="T19" i="6" s="1"/>
  <c r="K33" i="19"/>
  <c r="K29" i="20" s="1"/>
  <c r="J10" i="23" s="1"/>
  <c r="L17" i="19"/>
  <c r="L21" i="19" s="1"/>
  <c r="L11" i="19"/>
  <c r="F114" i="10"/>
  <c r="F118" i="10" s="1"/>
  <c r="G38" i="10"/>
  <c r="G46" i="10" s="1"/>
  <c r="G114" i="10" s="1"/>
  <c r="E92" i="14"/>
  <c r="F50" i="10"/>
  <c r="I5" i="26" l="1"/>
  <c r="I10" i="26" s="1"/>
  <c r="J8" i="21"/>
  <c r="J68" i="8"/>
  <c r="S8" i="6"/>
  <c r="S14" i="6"/>
  <c r="S20" i="6"/>
  <c r="D70" i="1"/>
  <c r="J8" i="23"/>
  <c r="H92" i="9"/>
  <c r="H21" i="23"/>
  <c r="I112" i="3"/>
  <c r="J14" i="21"/>
  <c r="J105" i="8"/>
  <c r="I36" i="10"/>
  <c r="I37" i="10" s="1"/>
  <c r="I38" i="10" s="1"/>
  <c r="I46" i="10" s="1"/>
  <c r="H42" i="9"/>
  <c r="H84" i="9"/>
  <c r="J78" i="9"/>
  <c r="J40" i="10"/>
  <c r="K11" i="20"/>
  <c r="J19" i="9"/>
  <c r="K28" i="20"/>
  <c r="K30" i="20" s="1"/>
  <c r="I40" i="9"/>
  <c r="C70" i="1"/>
  <c r="H50" i="10"/>
  <c r="H114" i="10"/>
  <c r="H118" i="10" s="1"/>
  <c r="K18" i="9"/>
  <c r="U19" i="6" s="1"/>
  <c r="L65" i="8"/>
  <c r="K57" i="9" s="1"/>
  <c r="U39" i="6" s="1"/>
  <c r="L33" i="19"/>
  <c r="L29" i="20" s="1"/>
  <c r="K10" i="23" s="1"/>
  <c r="J62" i="9"/>
  <c r="G118" i="10"/>
  <c r="F92" i="14"/>
  <c r="G50" i="10"/>
  <c r="J70" i="8" l="1"/>
  <c r="K6" i="21"/>
  <c r="J108" i="8"/>
  <c r="I8" i="26"/>
  <c r="J109" i="8"/>
  <c r="I45" i="9"/>
  <c r="I93" i="9" s="1"/>
  <c r="T20" i="6"/>
  <c r="T8" i="6"/>
  <c r="T14" i="6"/>
  <c r="D71" i="1"/>
  <c r="K8" i="23"/>
  <c r="C71" i="1"/>
  <c r="K12" i="21"/>
  <c r="L28" i="20"/>
  <c r="L30" i="20" s="1"/>
  <c r="K40" i="9" s="1"/>
  <c r="J40" i="9"/>
  <c r="I84" i="9"/>
  <c r="K78" i="9"/>
  <c r="K40" i="10"/>
  <c r="L11" i="20"/>
  <c r="K19" i="9"/>
  <c r="J36" i="10"/>
  <c r="J37" i="10" s="1"/>
  <c r="J38" i="10" s="1"/>
  <c r="J46" i="10" s="1"/>
  <c r="K62" i="9"/>
  <c r="I114" i="10"/>
  <c r="I118" i="10" s="1"/>
  <c r="I50" i="10"/>
  <c r="J5" i="26" l="1"/>
  <c r="J10" i="26" s="1"/>
  <c r="K68" i="8"/>
  <c r="K8" i="21"/>
  <c r="I39" i="9"/>
  <c r="I21" i="23" s="1"/>
  <c r="U14" i="6"/>
  <c r="U20" i="6"/>
  <c r="U8" i="6"/>
  <c r="K105" i="8"/>
  <c r="K14" i="21"/>
  <c r="J45" i="9" s="1"/>
  <c r="J93" i="9" s="1"/>
  <c r="K36" i="10"/>
  <c r="J50" i="10"/>
  <c r="J114" i="10"/>
  <c r="J118" i="10" s="1"/>
  <c r="J84" i="9"/>
  <c r="K84" i="9"/>
  <c r="K108" i="8" l="1"/>
  <c r="L6" i="21"/>
  <c r="K70" i="8"/>
  <c r="J8" i="26"/>
  <c r="J112" i="3"/>
  <c r="I92" i="9"/>
  <c r="I42" i="9"/>
  <c r="L12" i="21"/>
  <c r="J39" i="9"/>
  <c r="J21" i="23" s="1"/>
  <c r="K109" i="8"/>
  <c r="K37" i="10"/>
  <c r="K38" i="10" s="1"/>
  <c r="K46" i="10" s="1"/>
  <c r="B58" i="10"/>
  <c r="B59" i="10" s="1"/>
  <c r="B60" i="10" s="1"/>
  <c r="K5" i="26" l="1"/>
  <c r="K10" i="26" s="1"/>
  <c r="L68" i="8"/>
  <c r="L8" i="21"/>
  <c r="L14" i="21"/>
  <c r="L105" i="8"/>
  <c r="J92" i="9"/>
  <c r="K112" i="3"/>
  <c r="J42" i="9"/>
  <c r="B99" i="10"/>
  <c r="B100" i="10" s="1"/>
  <c r="K50" i="10"/>
  <c r="C51" i="10" s="1"/>
  <c r="B63" i="10" s="1"/>
  <c r="K114" i="10"/>
  <c r="B57" i="10"/>
  <c r="D86" i="10"/>
  <c r="E135" i="3" s="1"/>
  <c r="B90" i="10"/>
  <c r="C139" i="3" s="1"/>
  <c r="B13" i="11"/>
  <c r="C15" i="11"/>
  <c r="C11" i="11"/>
  <c r="C14" i="11"/>
  <c r="H90" i="10"/>
  <c r="I139" i="3" s="1"/>
  <c r="F87" i="10"/>
  <c r="G136" i="3" s="1"/>
  <c r="C90" i="10"/>
  <c r="D139" i="3" s="1"/>
  <c r="F15" i="11"/>
  <c r="B88" i="10"/>
  <c r="C137" i="3" s="1"/>
  <c r="F86" i="10"/>
  <c r="G135" i="3" s="1"/>
  <c r="C91" i="10"/>
  <c r="D140" i="3" s="1"/>
  <c r="E91" i="10"/>
  <c r="F140" i="3" s="1"/>
  <c r="H91" i="10"/>
  <c r="I140" i="3" s="1"/>
  <c r="H88" i="10"/>
  <c r="I137" i="3" s="1"/>
  <c r="E11" i="11"/>
  <c r="D90" i="10"/>
  <c r="E139" i="3" s="1"/>
  <c r="D12" i="11"/>
  <c r="D11" i="11"/>
  <c r="F85" i="10"/>
  <c r="G134" i="3" s="1"/>
  <c r="G87" i="10"/>
  <c r="H136" i="3" s="1"/>
  <c r="H85" i="10"/>
  <c r="I134" i="3" s="1"/>
  <c r="F11" i="11"/>
  <c r="C18" i="11" s="1"/>
  <c r="E89" i="10"/>
  <c r="F138" i="3" s="1"/>
  <c r="G90" i="10"/>
  <c r="H139" i="3" s="1"/>
  <c r="B89" i="10"/>
  <c r="C138" i="3" s="1"/>
  <c r="D85" i="10"/>
  <c r="E134" i="3" s="1"/>
  <c r="C13" i="11"/>
  <c r="H87" i="10"/>
  <c r="I136" i="3" s="1"/>
  <c r="G89" i="10"/>
  <c r="H138" i="3" s="1"/>
  <c r="G85" i="10"/>
  <c r="H134" i="3" s="1"/>
  <c r="F12" i="11"/>
  <c r="B15" i="11"/>
  <c r="C20" i="11" s="1"/>
  <c r="E86" i="10"/>
  <c r="F135" i="3" s="1"/>
  <c r="F14" i="11"/>
  <c r="E13" i="11"/>
  <c r="F13" i="11"/>
  <c r="C86" i="10"/>
  <c r="D135" i="3" s="1"/>
  <c r="F91" i="10"/>
  <c r="G140" i="3" s="1"/>
  <c r="E88" i="10"/>
  <c r="F137" i="3" s="1"/>
  <c r="H86" i="10"/>
  <c r="I135" i="3" s="1"/>
  <c r="B85" i="10"/>
  <c r="C134" i="3" s="1"/>
  <c r="D88" i="10"/>
  <c r="E137" i="3" s="1"/>
  <c r="D15" i="11"/>
  <c r="G88" i="10"/>
  <c r="H137" i="3" s="1"/>
  <c r="C12" i="11"/>
  <c r="C89" i="10"/>
  <c r="D138" i="3" s="1"/>
  <c r="H89" i="10"/>
  <c r="I138" i="3" s="1"/>
  <c r="G91" i="10"/>
  <c r="H140" i="3" s="1"/>
  <c r="B14" i="11"/>
  <c r="C79" i="3" s="1"/>
  <c r="D91" i="10"/>
  <c r="E140" i="3" s="1"/>
  <c r="E12" i="11"/>
  <c r="E15" i="11"/>
  <c r="C85" i="10"/>
  <c r="D134" i="3" s="1"/>
  <c r="D87" i="10"/>
  <c r="E136" i="3" s="1"/>
  <c r="E14" i="11"/>
  <c r="C87" i="10"/>
  <c r="D136" i="3" s="1"/>
  <c r="D89" i="10"/>
  <c r="E138" i="3" s="1"/>
  <c r="B91" i="10"/>
  <c r="C140" i="3" s="1"/>
  <c r="G86" i="10"/>
  <c r="H135" i="3" s="1"/>
  <c r="B86" i="10"/>
  <c r="C135" i="3" s="1"/>
  <c r="F88" i="10"/>
  <c r="G137" i="3" s="1"/>
  <c r="F89" i="10"/>
  <c r="G138" i="3" s="1"/>
  <c r="E90" i="10"/>
  <c r="F139" i="3" s="1"/>
  <c r="D14" i="11"/>
  <c r="B87" i="10"/>
  <c r="C136" i="3" s="1"/>
  <c r="E85" i="10"/>
  <c r="F134" i="3" s="1"/>
  <c r="B12" i="11"/>
  <c r="C81" i="3" s="1"/>
  <c r="F90" i="10"/>
  <c r="G139" i="3" s="1"/>
  <c r="C88" i="10"/>
  <c r="D137" i="3" s="1"/>
  <c r="D13" i="11"/>
  <c r="B11" i="11"/>
  <c r="C82" i="3" s="1"/>
  <c r="E87" i="10"/>
  <c r="F136" i="3" s="1"/>
  <c r="K8" i="26" l="1"/>
  <c r="L108" i="8"/>
  <c r="L70" i="8"/>
  <c r="K45" i="9"/>
  <c r="K93" i="9" s="1"/>
  <c r="C80" i="3"/>
  <c r="C19" i="11"/>
  <c r="E81" i="3"/>
  <c r="D79" i="3"/>
  <c r="L109" i="8"/>
  <c r="D78" i="3"/>
  <c r="E80" i="3"/>
  <c r="D80" i="3"/>
  <c r="E79" i="3"/>
  <c r="E82" i="3"/>
  <c r="K118" i="10"/>
  <c r="C119" i="10" s="1"/>
  <c r="B131" i="10" s="1"/>
  <c r="B125" i="10"/>
  <c r="B127" i="10" s="1"/>
  <c r="B47" i="12"/>
  <c r="C78" i="3"/>
  <c r="E78" i="3"/>
  <c r="B106" i="14"/>
  <c r="B64" i="10"/>
  <c r="B65" i="10" s="1"/>
  <c r="B107" i="14"/>
  <c r="D82" i="3"/>
  <c r="D81" i="3"/>
  <c r="B128" i="10" l="1"/>
  <c r="B132" i="10" s="1"/>
  <c r="B133" i="10" s="1"/>
  <c r="B135" i="10" s="1"/>
  <c r="K39" i="9"/>
  <c r="K21" i="23" s="1"/>
  <c r="D47" i="12"/>
  <c r="C21" i="11"/>
  <c r="B67" i="10"/>
  <c r="B108" i="14" s="1"/>
  <c r="B71" i="10"/>
  <c r="B76" i="10" s="1"/>
  <c r="B105" i="14"/>
  <c r="D36" i="2"/>
  <c r="D155" i="10"/>
  <c r="L112" i="3" l="1"/>
  <c r="K92" i="9"/>
  <c r="K42" i="9"/>
  <c r="B139" i="10"/>
  <c r="B144" i="10" s="1"/>
  <c r="E156" i="10" s="1"/>
  <c r="D156" i="10"/>
  <c r="D158" i="10" s="1"/>
  <c r="E155" i="10"/>
  <c r="B81" i="10"/>
  <c r="D37" i="2"/>
  <c r="B114" i="14"/>
  <c r="B149" i="10" l="1"/>
  <c r="E158" i="10"/>
  <c r="F155" i="10"/>
  <c r="B117" i="14"/>
  <c r="B7" i="11"/>
  <c r="D38" i="2"/>
  <c r="C47" i="12"/>
  <c r="B50" i="12" s="1"/>
  <c r="C52" i="3"/>
  <c r="A130" i="14"/>
  <c r="F156" i="10" l="1"/>
  <c r="C83" i="3" s="1"/>
  <c r="D83" i="3" s="1"/>
  <c r="C53" i="3"/>
  <c r="F158" i="10" l="1"/>
  <c r="E72" i="8"/>
  <c r="F72" i="8"/>
  <c r="G72" i="8"/>
  <c r="H72" i="8"/>
  <c r="I72" i="8"/>
  <c r="J72" i="8"/>
  <c r="K72" i="8"/>
  <c r="L72" i="8"/>
  <c r="E110" i="8"/>
  <c r="F110" i="8"/>
  <c r="G110" i="8"/>
  <c r="H110" i="8"/>
  <c r="I110" i="8"/>
  <c r="J110" i="8"/>
  <c r="K110" i="8"/>
  <c r="L110" i="8"/>
  <c r="M13" i="7"/>
  <c r="N13" i="7"/>
  <c r="O13" i="7"/>
  <c r="P13" i="7"/>
  <c r="Q13" i="7"/>
  <c r="R13" i="7"/>
  <c r="S13" i="7"/>
  <c r="T13" i="7"/>
  <c r="M16" i="7"/>
  <c r="N16" i="7"/>
  <c r="O16" i="7"/>
  <c r="P16" i="7"/>
  <c r="Q16" i="7"/>
  <c r="R16" i="7"/>
  <c r="S16" i="7"/>
  <c r="T16" i="7"/>
  <c r="M17" i="7"/>
  <c r="N17" i="7"/>
  <c r="O17" i="7"/>
  <c r="P17" i="7"/>
  <c r="Q17" i="7"/>
  <c r="R17" i="7"/>
  <c r="S17" i="7"/>
  <c r="T17" i="7"/>
  <c r="M18" i="7"/>
  <c r="N18" i="7"/>
  <c r="O18" i="7"/>
  <c r="P18" i="7"/>
  <c r="Q18" i="7"/>
  <c r="R18" i="7"/>
  <c r="S18" i="7"/>
  <c r="T18" i="7"/>
  <c r="M22" i="7"/>
  <c r="N22" i="7"/>
  <c r="O22" i="7"/>
  <c r="P22" i="7"/>
  <c r="Q22" i="7"/>
  <c r="R22" i="7"/>
  <c r="S22" i="7"/>
  <c r="T22" i="7"/>
  <c r="M23" i="7"/>
  <c r="N23" i="7"/>
  <c r="O23" i="7"/>
  <c r="P23" i="7"/>
  <c r="Q23" i="7"/>
  <c r="R23" i="7"/>
  <c r="S23" i="7"/>
  <c r="T23" i="7"/>
  <c r="M24" i="7"/>
  <c r="N24" i="7"/>
  <c r="O24" i="7"/>
  <c r="P24" i="7"/>
  <c r="Q24" i="7"/>
  <c r="R24" i="7"/>
  <c r="S24" i="7"/>
  <c r="T24" i="7"/>
  <c r="M25" i="7"/>
  <c r="N25" i="7"/>
  <c r="O25" i="7"/>
  <c r="P25" i="7"/>
  <c r="Q25" i="7"/>
  <c r="R25" i="7"/>
  <c r="S25" i="7"/>
  <c r="T25" i="7"/>
  <c r="M26" i="7"/>
  <c r="N26" i="7"/>
  <c r="O26" i="7"/>
  <c r="P26" i="7"/>
  <c r="Q26" i="7"/>
  <c r="R26" i="7"/>
  <c r="S26" i="7"/>
  <c r="T26" i="7"/>
  <c r="M27" i="7"/>
  <c r="N27" i="7"/>
  <c r="O27" i="7"/>
  <c r="P27" i="7"/>
  <c r="Q27" i="7"/>
  <c r="R27" i="7"/>
  <c r="S27" i="7"/>
  <c r="T27" i="7"/>
  <c r="M28" i="7"/>
  <c r="N28" i="7"/>
  <c r="O28" i="7"/>
  <c r="P28" i="7"/>
  <c r="Q28" i="7"/>
  <c r="R28" i="7"/>
  <c r="S28" i="7"/>
  <c r="T28" i="7"/>
  <c r="M29" i="7"/>
  <c r="N29" i="7"/>
  <c r="O29" i="7"/>
  <c r="P29" i="7"/>
  <c r="Q29" i="7"/>
  <c r="R29" i="7"/>
  <c r="S29" i="7"/>
  <c r="T29" i="7"/>
  <c r="M30" i="7"/>
  <c r="N30" i="7"/>
  <c r="O30" i="7"/>
  <c r="P30" i="7"/>
  <c r="Q30" i="7"/>
  <c r="R30" i="7"/>
  <c r="S30" i="7"/>
  <c r="T30" i="7"/>
  <c r="M31" i="7"/>
  <c r="N31" i="7"/>
  <c r="O31" i="7"/>
  <c r="P31" i="7"/>
  <c r="Q31" i="7"/>
  <c r="R31" i="7"/>
  <c r="S31" i="7"/>
  <c r="T31" i="7"/>
  <c r="M32" i="7"/>
  <c r="N32" i="7"/>
  <c r="O32" i="7"/>
  <c r="P32" i="7"/>
  <c r="Q32" i="7"/>
  <c r="R32" i="7"/>
  <c r="S32" i="7"/>
  <c r="T32" i="7"/>
  <c r="M33" i="7"/>
  <c r="N33" i="7"/>
  <c r="O33" i="7"/>
  <c r="P33" i="7"/>
  <c r="Q33" i="7"/>
  <c r="R33" i="7"/>
  <c r="S33" i="7"/>
  <c r="T33" i="7"/>
  <c r="M34" i="7"/>
  <c r="N34" i="7"/>
  <c r="O34" i="7"/>
  <c r="P34" i="7"/>
  <c r="Q34" i="7"/>
  <c r="R34" i="7"/>
  <c r="S34" i="7"/>
  <c r="T34" i="7"/>
  <c r="M38" i="7"/>
  <c r="N38" i="7"/>
  <c r="O38" i="7"/>
  <c r="P38" i="7"/>
  <c r="Q38" i="7"/>
  <c r="R38" i="7"/>
  <c r="S38" i="7"/>
  <c r="T38" i="7"/>
  <c r="M39" i="7"/>
  <c r="N39" i="7"/>
  <c r="O39" i="7"/>
  <c r="P39" i="7"/>
  <c r="Q39" i="7"/>
  <c r="R39" i="7"/>
  <c r="S39" i="7"/>
  <c r="T39" i="7"/>
  <c r="M40" i="7"/>
  <c r="N40" i="7"/>
  <c r="O40" i="7"/>
  <c r="P40" i="7"/>
  <c r="Q40" i="7"/>
  <c r="R40" i="7"/>
  <c r="S40" i="7"/>
  <c r="T40" i="7"/>
  <c r="M41" i="7"/>
  <c r="N41" i="7"/>
  <c r="O41" i="7"/>
  <c r="P41" i="7"/>
  <c r="Q41" i="7"/>
  <c r="R41" i="7"/>
  <c r="S41" i="7"/>
  <c r="T41" i="7"/>
  <c r="M42" i="7"/>
  <c r="N42" i="7"/>
  <c r="O42" i="7"/>
  <c r="P42" i="7"/>
  <c r="Q42" i="7"/>
  <c r="R42" i="7"/>
  <c r="S42" i="7"/>
  <c r="T42" i="7"/>
  <c r="M43" i="7"/>
  <c r="N43" i="7"/>
  <c r="O43" i="7"/>
  <c r="P43" i="7"/>
  <c r="Q43" i="7"/>
  <c r="R43" i="7"/>
  <c r="S43" i="7"/>
  <c r="T43" i="7"/>
  <c r="M44" i="7"/>
  <c r="N44" i="7"/>
  <c r="O44" i="7"/>
  <c r="P44" i="7"/>
  <c r="Q44" i="7"/>
  <c r="R44" i="7"/>
  <c r="S44" i="7"/>
  <c r="T44" i="7"/>
  <c r="M45" i="7"/>
  <c r="N45" i="7"/>
  <c r="O45" i="7"/>
  <c r="P45" i="7"/>
  <c r="Q45" i="7"/>
  <c r="R45" i="7"/>
  <c r="S45" i="7"/>
  <c r="T45" i="7"/>
  <c r="M46" i="7"/>
  <c r="N46" i="7"/>
  <c r="O46" i="7"/>
  <c r="P46" i="7"/>
  <c r="Q46" i="7"/>
  <c r="R46" i="7"/>
  <c r="S46" i="7"/>
  <c r="T46" i="7"/>
  <c r="M47" i="7"/>
  <c r="N47" i="7"/>
  <c r="O47" i="7"/>
  <c r="P47" i="7"/>
  <c r="Q47" i="7"/>
  <c r="R47" i="7"/>
  <c r="S47" i="7"/>
  <c r="T47" i="7"/>
  <c r="M48" i="7"/>
  <c r="N48" i="7"/>
  <c r="O48" i="7"/>
  <c r="P48" i="7"/>
  <c r="Q48" i="7"/>
  <c r="R48" i="7"/>
  <c r="S48" i="7"/>
  <c r="T48" i="7"/>
  <c r="M49" i="7"/>
  <c r="N49" i="7"/>
  <c r="O49" i="7"/>
  <c r="P49" i="7"/>
  <c r="Q49" i="7"/>
  <c r="R49" i="7"/>
  <c r="S49" i="7"/>
  <c r="T49" i="7"/>
  <c r="M50" i="7"/>
  <c r="N50" i="7"/>
  <c r="O50" i="7"/>
  <c r="P50" i="7"/>
  <c r="Q50" i="7"/>
  <c r="R50" i="7"/>
  <c r="S50" i="7"/>
  <c r="T50" i="7"/>
  <c r="E8" i="3"/>
  <c r="F8" i="3"/>
  <c r="G8" i="3"/>
  <c r="H8" i="3"/>
  <c r="I8" i="3"/>
  <c r="J8" i="3"/>
  <c r="K8" i="3"/>
  <c r="L8" i="3"/>
  <c r="E9" i="3"/>
  <c r="F9" i="3"/>
  <c r="G9" i="3"/>
  <c r="H9" i="3"/>
  <c r="I9" i="3"/>
  <c r="J9" i="3"/>
  <c r="K9" i="3"/>
  <c r="L9" i="3"/>
  <c r="E10" i="3"/>
  <c r="F10" i="3"/>
  <c r="G10" i="3"/>
  <c r="H10" i="3"/>
  <c r="I10" i="3"/>
  <c r="J10" i="3"/>
  <c r="K10" i="3"/>
  <c r="L10" i="3"/>
  <c r="E66" i="3"/>
  <c r="F66" i="3"/>
  <c r="G66" i="3"/>
  <c r="H66" i="3"/>
  <c r="I66" i="3"/>
  <c r="J66" i="3"/>
  <c r="K66" i="3"/>
  <c r="L66" i="3"/>
  <c r="E71" i="3"/>
  <c r="F71" i="3"/>
  <c r="G71" i="3"/>
  <c r="H71" i="3"/>
  <c r="I71" i="3"/>
  <c r="J71" i="3"/>
  <c r="K71" i="3"/>
  <c r="L71" i="3"/>
  <c r="E72" i="3"/>
  <c r="F72" i="3"/>
  <c r="G72" i="3"/>
  <c r="H72" i="3"/>
  <c r="I72" i="3"/>
  <c r="J72" i="3"/>
  <c r="K72" i="3"/>
  <c r="L72" i="3"/>
  <c r="E73" i="3"/>
  <c r="F73" i="3"/>
  <c r="G73" i="3"/>
  <c r="H73" i="3"/>
  <c r="I73" i="3"/>
  <c r="J73" i="3"/>
  <c r="K73" i="3"/>
  <c r="L73" i="3"/>
  <c r="E110" i="3"/>
  <c r="F110" i="3"/>
  <c r="G110" i="3"/>
  <c r="H110" i="3"/>
  <c r="I110" i="3"/>
  <c r="J110" i="3"/>
  <c r="K110" i="3"/>
  <c r="L110" i="3"/>
  <c r="E111" i="3"/>
  <c r="F111" i="3"/>
  <c r="G111" i="3"/>
  <c r="H111" i="3"/>
  <c r="I111" i="3"/>
  <c r="J111" i="3"/>
  <c r="K111" i="3"/>
  <c r="L111" i="3"/>
  <c r="E113" i="3"/>
  <c r="F113" i="3"/>
  <c r="G113" i="3"/>
  <c r="H113" i="3"/>
  <c r="I113" i="3"/>
  <c r="J113" i="3"/>
  <c r="K113" i="3"/>
  <c r="L113" i="3"/>
  <c r="E114" i="3"/>
  <c r="F114" i="3"/>
  <c r="G114" i="3"/>
  <c r="H114" i="3"/>
  <c r="I114" i="3"/>
  <c r="J114" i="3"/>
  <c r="K114" i="3"/>
  <c r="L114" i="3"/>
  <c r="E115" i="3"/>
  <c r="F115" i="3"/>
  <c r="G115" i="3"/>
  <c r="H115" i="3"/>
  <c r="I115" i="3"/>
  <c r="J115" i="3"/>
  <c r="K115" i="3"/>
  <c r="L115" i="3"/>
  <c r="E116" i="3"/>
  <c r="F116" i="3"/>
  <c r="G116" i="3"/>
  <c r="H116" i="3"/>
  <c r="I116" i="3"/>
  <c r="J116" i="3"/>
  <c r="K116" i="3"/>
  <c r="L116" i="3"/>
  <c r="E117" i="3"/>
  <c r="F117" i="3"/>
  <c r="G117" i="3"/>
  <c r="H117" i="3"/>
  <c r="I117" i="3"/>
  <c r="J117" i="3"/>
  <c r="K117" i="3"/>
  <c r="L117" i="3"/>
  <c r="E118" i="3"/>
  <c r="F118" i="3"/>
  <c r="G118" i="3"/>
  <c r="H118" i="3"/>
  <c r="I118" i="3"/>
  <c r="J118" i="3"/>
  <c r="K118" i="3"/>
  <c r="L118" i="3"/>
  <c r="E18" i="21"/>
  <c r="F18" i="21"/>
  <c r="G18" i="21"/>
  <c r="H18" i="21"/>
  <c r="I18" i="21"/>
  <c r="J18" i="21"/>
  <c r="K18" i="21"/>
  <c r="L18" i="21"/>
  <c r="E19" i="21"/>
  <c r="F19" i="21"/>
  <c r="G19" i="21"/>
  <c r="H19" i="21"/>
  <c r="I19" i="21"/>
  <c r="J19" i="21"/>
  <c r="K19" i="21"/>
  <c r="L19" i="21"/>
  <c r="E24" i="21"/>
  <c r="F24" i="21"/>
  <c r="G24" i="21"/>
  <c r="H24" i="21"/>
  <c r="I24" i="21"/>
  <c r="J24" i="21"/>
  <c r="K24" i="21"/>
  <c r="L24" i="21"/>
  <c r="E25" i="21"/>
  <c r="F25" i="21"/>
  <c r="G25" i="21"/>
  <c r="H25" i="21"/>
  <c r="I25" i="21"/>
  <c r="J25" i="21"/>
  <c r="K25" i="21"/>
  <c r="L25" i="21"/>
  <c r="D7" i="23"/>
  <c r="E7" i="23"/>
  <c r="F7" i="23"/>
  <c r="G7" i="23"/>
  <c r="H7" i="23"/>
  <c r="I7" i="23"/>
  <c r="J7" i="23"/>
  <c r="K7" i="23"/>
  <c r="D9" i="23"/>
  <c r="E9" i="23"/>
  <c r="F9" i="23"/>
  <c r="G9" i="23"/>
  <c r="H9" i="23"/>
  <c r="I9" i="23"/>
  <c r="J9" i="23"/>
  <c r="K9" i="23"/>
  <c r="D11" i="23"/>
  <c r="E11" i="23"/>
  <c r="F11" i="23"/>
  <c r="G11" i="23"/>
  <c r="H11" i="23"/>
  <c r="I11" i="23"/>
  <c r="J11" i="23"/>
  <c r="K11" i="23"/>
  <c r="D14" i="23"/>
  <c r="E14" i="23"/>
  <c r="F14" i="23"/>
  <c r="G14" i="23"/>
  <c r="H14" i="23"/>
  <c r="I14" i="23"/>
  <c r="J14" i="23"/>
  <c r="K14" i="23"/>
  <c r="D16" i="23"/>
  <c r="E16" i="23"/>
  <c r="F16" i="23"/>
  <c r="G16" i="23"/>
  <c r="H16" i="23"/>
  <c r="I16" i="23"/>
  <c r="J16" i="23"/>
  <c r="K16" i="23"/>
  <c r="D19" i="23"/>
  <c r="E19" i="23"/>
  <c r="F19" i="23"/>
  <c r="G19" i="23"/>
  <c r="H19" i="23"/>
  <c r="I19" i="23"/>
  <c r="J19" i="23"/>
  <c r="K19" i="23"/>
  <c r="D20" i="23"/>
  <c r="E20" i="23"/>
  <c r="F20" i="23"/>
  <c r="G20" i="23"/>
  <c r="H20" i="23"/>
  <c r="I20" i="23"/>
  <c r="J20" i="23"/>
  <c r="K20" i="23"/>
  <c r="D22" i="23"/>
  <c r="E22" i="23"/>
  <c r="F22" i="23"/>
  <c r="G22" i="23"/>
  <c r="H22" i="23"/>
  <c r="I22" i="23"/>
  <c r="J22" i="23"/>
  <c r="K22" i="23"/>
  <c r="D23" i="23"/>
  <c r="E23" i="23"/>
  <c r="F23" i="23"/>
  <c r="G23" i="23"/>
  <c r="H23" i="23"/>
  <c r="I23" i="23"/>
  <c r="J23" i="23"/>
  <c r="K23" i="23"/>
  <c r="D26" i="23"/>
  <c r="E26" i="23"/>
  <c r="F26" i="23"/>
  <c r="G26" i="23"/>
  <c r="H26" i="23"/>
  <c r="I26" i="23"/>
  <c r="J26" i="23"/>
  <c r="K26" i="23"/>
  <c r="D27" i="23"/>
  <c r="E27" i="23"/>
  <c r="F27" i="23"/>
  <c r="G27" i="23"/>
  <c r="H27" i="23"/>
  <c r="I27" i="23"/>
  <c r="J27" i="23"/>
  <c r="K27" i="23"/>
  <c r="D29" i="23"/>
  <c r="E29" i="23"/>
  <c r="F29" i="23"/>
  <c r="G29" i="23"/>
  <c r="H29" i="23"/>
  <c r="I29" i="23"/>
  <c r="J29" i="23"/>
  <c r="K29" i="23"/>
  <c r="D30" i="23"/>
  <c r="E30" i="23"/>
  <c r="F30" i="23"/>
  <c r="G30" i="23"/>
  <c r="H30" i="23"/>
  <c r="I30" i="23"/>
  <c r="J30" i="23"/>
  <c r="K30" i="23"/>
  <c r="C74" i="14"/>
  <c r="D74" i="14"/>
  <c r="E74" i="14"/>
  <c r="F74" i="14"/>
  <c r="C75" i="14"/>
  <c r="D75" i="14"/>
  <c r="E75" i="14"/>
  <c r="F75" i="14"/>
  <c r="C76" i="14"/>
  <c r="D76" i="14"/>
  <c r="E76" i="14"/>
  <c r="F76" i="14"/>
  <c r="C77" i="14"/>
  <c r="D77" i="14"/>
  <c r="E77" i="14"/>
  <c r="F77" i="14"/>
  <c r="C80" i="14"/>
  <c r="D80" i="14"/>
  <c r="E80" i="14"/>
  <c r="F80" i="14"/>
  <c r="C83" i="14"/>
  <c r="D83" i="14"/>
  <c r="E83" i="14"/>
  <c r="F83" i="14"/>
  <c r="C84" i="14"/>
  <c r="D84" i="14"/>
  <c r="E84" i="14"/>
  <c r="F84" i="14"/>
  <c r="C85" i="14"/>
  <c r="D85" i="14"/>
  <c r="E85" i="14"/>
  <c r="F85" i="14"/>
  <c r="C88" i="14"/>
  <c r="D88" i="14"/>
  <c r="E88" i="14"/>
  <c r="F88" i="14"/>
  <c r="C90" i="14"/>
  <c r="D90" i="14"/>
  <c r="E90" i="14"/>
  <c r="F90" i="14"/>
  <c r="C91" i="14"/>
  <c r="D91" i="14"/>
  <c r="E91" i="14"/>
  <c r="F91" i="14"/>
  <c r="C95" i="14"/>
  <c r="D95" i="14"/>
  <c r="E95" i="14"/>
  <c r="F95" i="14"/>
  <c r="C96" i="14"/>
  <c r="D96" i="14"/>
  <c r="E96" i="14"/>
  <c r="F96" i="14"/>
  <c r="C97" i="14"/>
  <c r="D97" i="14"/>
  <c r="E97" i="14"/>
  <c r="F97" i="14"/>
  <c r="C98" i="14"/>
  <c r="D98" i="14"/>
  <c r="E98" i="14"/>
  <c r="F98" i="14"/>
  <c r="C99" i="14"/>
  <c r="D99" i="14"/>
  <c r="E99" i="14"/>
  <c r="F99" i="14"/>
  <c r="C8" i="1"/>
  <c r="D8" i="1"/>
  <c r="C9" i="1"/>
  <c r="D9" i="1"/>
  <c r="C10" i="1"/>
  <c r="D10" i="1"/>
  <c r="C11" i="1"/>
  <c r="D11" i="1"/>
  <c r="C16" i="1"/>
  <c r="D16" i="1"/>
  <c r="C17" i="1"/>
  <c r="D17" i="1"/>
  <c r="C18" i="1"/>
  <c r="D18" i="1"/>
  <c r="C19" i="1"/>
  <c r="D19" i="1"/>
  <c r="C23" i="1"/>
  <c r="D23" i="1"/>
  <c r="C24" i="1"/>
  <c r="D24" i="1"/>
  <c r="C25" i="1"/>
  <c r="D25" i="1"/>
  <c r="C26" i="1"/>
  <c r="D26" i="1"/>
  <c r="C27" i="1"/>
  <c r="D27" i="1"/>
  <c r="C28" i="1"/>
  <c r="D28" i="1"/>
  <c r="C29" i="1"/>
  <c r="D29" i="1"/>
  <c r="C30" i="1"/>
  <c r="D30" i="1"/>
  <c r="C46" i="1"/>
  <c r="D46" i="1"/>
  <c r="C47" i="1"/>
  <c r="D47" i="1"/>
  <c r="C48" i="1"/>
  <c r="D48" i="1"/>
  <c r="C49" i="1"/>
  <c r="D49" i="1"/>
  <c r="C58" i="1"/>
  <c r="D58" i="1"/>
  <c r="C59" i="1"/>
  <c r="D59" i="1"/>
  <c r="C60" i="1"/>
  <c r="D60" i="1"/>
  <c r="C61" i="1"/>
  <c r="D61" i="1"/>
  <c r="C63" i="1"/>
  <c r="D63" i="1"/>
  <c r="C64" i="1"/>
  <c r="D64" i="1"/>
  <c r="C65" i="1"/>
  <c r="D65" i="1"/>
  <c r="C66" i="1"/>
  <c r="D66" i="1"/>
  <c r="C80" i="1"/>
  <c r="D80" i="1"/>
  <c r="C81" i="1"/>
  <c r="D81" i="1"/>
  <c r="C82" i="1"/>
  <c r="D82" i="1"/>
  <c r="N9" i="6"/>
  <c r="O9" i="6"/>
  <c r="P9" i="6"/>
  <c r="Q9" i="6"/>
  <c r="R9" i="6"/>
  <c r="S9" i="6"/>
  <c r="T9" i="6"/>
  <c r="U9" i="6"/>
  <c r="N15" i="6"/>
  <c r="O15" i="6"/>
  <c r="P15" i="6"/>
  <c r="Q15" i="6"/>
  <c r="R15" i="6"/>
  <c r="S15" i="6"/>
  <c r="T15" i="6"/>
  <c r="U15" i="6"/>
  <c r="N16" i="6"/>
  <c r="O16" i="6"/>
  <c r="P16" i="6"/>
  <c r="Q16" i="6"/>
  <c r="R16" i="6"/>
  <c r="S16" i="6"/>
  <c r="T16" i="6"/>
  <c r="U16" i="6"/>
  <c r="N23" i="6"/>
  <c r="O23" i="6"/>
  <c r="P23" i="6"/>
  <c r="Q23" i="6"/>
  <c r="R23" i="6"/>
  <c r="S23" i="6"/>
  <c r="T23" i="6"/>
  <c r="U23" i="6"/>
  <c r="N24" i="6"/>
  <c r="O24" i="6"/>
  <c r="P24" i="6"/>
  <c r="Q24" i="6"/>
  <c r="R24" i="6"/>
  <c r="S24" i="6"/>
  <c r="T24" i="6"/>
  <c r="U24" i="6"/>
  <c r="N25" i="6"/>
  <c r="O25" i="6"/>
  <c r="P25" i="6"/>
  <c r="Q25" i="6"/>
  <c r="R25" i="6"/>
  <c r="S25" i="6"/>
  <c r="T25" i="6"/>
  <c r="U25" i="6"/>
  <c r="N26" i="6"/>
  <c r="O26" i="6"/>
  <c r="P26" i="6"/>
  <c r="Q26" i="6"/>
  <c r="R26" i="6"/>
  <c r="S26" i="6"/>
  <c r="T26" i="6"/>
  <c r="U26" i="6"/>
  <c r="N30" i="6"/>
  <c r="O30" i="6"/>
  <c r="P30" i="6"/>
  <c r="Q30" i="6"/>
  <c r="R30" i="6"/>
  <c r="S30" i="6"/>
  <c r="T30" i="6"/>
  <c r="U30" i="6"/>
  <c r="N31" i="6"/>
  <c r="O31" i="6"/>
  <c r="P31" i="6"/>
  <c r="Q31" i="6"/>
  <c r="R31" i="6"/>
  <c r="S31" i="6"/>
  <c r="T31" i="6"/>
  <c r="U31" i="6"/>
  <c r="N32" i="6"/>
  <c r="O32" i="6"/>
  <c r="P32" i="6"/>
  <c r="Q32" i="6"/>
  <c r="R32" i="6"/>
  <c r="S32" i="6"/>
  <c r="T32" i="6"/>
  <c r="U32" i="6"/>
  <c r="N33" i="6"/>
  <c r="O33" i="6"/>
  <c r="P33" i="6"/>
  <c r="Q33" i="6"/>
  <c r="R33" i="6"/>
  <c r="S33" i="6"/>
  <c r="T33" i="6"/>
  <c r="U33" i="6"/>
  <c r="N40" i="6"/>
  <c r="O40" i="6"/>
  <c r="P40" i="6"/>
  <c r="Q40" i="6"/>
  <c r="R40" i="6"/>
  <c r="S40" i="6"/>
  <c r="T40" i="6"/>
  <c r="U40" i="6"/>
  <c r="N50" i="6"/>
  <c r="O50" i="6"/>
  <c r="P50" i="6"/>
  <c r="Q50" i="6"/>
  <c r="R50" i="6"/>
  <c r="S50" i="6"/>
  <c r="T50" i="6"/>
  <c r="U50" i="6"/>
  <c r="N51" i="6"/>
  <c r="O51" i="6"/>
  <c r="P51" i="6"/>
  <c r="Q51" i="6"/>
  <c r="R51" i="6"/>
  <c r="S51" i="6"/>
  <c r="T51" i="6"/>
  <c r="U51" i="6"/>
  <c r="N52" i="6"/>
  <c r="O52" i="6"/>
  <c r="P52" i="6"/>
  <c r="Q52" i="6"/>
  <c r="R52" i="6"/>
  <c r="S52" i="6"/>
  <c r="T52" i="6"/>
  <c r="U52" i="6"/>
  <c r="E10" i="20"/>
  <c r="F10" i="20"/>
  <c r="G10" i="20"/>
  <c r="H10" i="20"/>
  <c r="I10" i="20"/>
  <c r="J10" i="20"/>
  <c r="K10" i="20"/>
  <c r="L10" i="20"/>
  <c r="E13" i="20"/>
  <c r="F13" i="20"/>
  <c r="G13" i="20"/>
  <c r="H13" i="20"/>
  <c r="I13" i="20"/>
  <c r="J13" i="20"/>
  <c r="K13" i="20"/>
  <c r="L13" i="20"/>
  <c r="E15" i="20"/>
  <c r="F15" i="20"/>
  <c r="G15" i="20"/>
  <c r="H15" i="20"/>
  <c r="I15" i="20"/>
  <c r="J15" i="20"/>
  <c r="K15" i="20"/>
  <c r="L15" i="20"/>
  <c r="E16" i="20"/>
  <c r="F16" i="20"/>
  <c r="G16" i="20"/>
  <c r="H16" i="20"/>
  <c r="I16" i="20"/>
  <c r="J16" i="20"/>
  <c r="K16" i="20"/>
  <c r="L16" i="20"/>
  <c r="E19" i="20"/>
  <c r="F19" i="20"/>
  <c r="G19" i="20"/>
  <c r="H19" i="20"/>
  <c r="I19" i="20"/>
  <c r="J19" i="20"/>
  <c r="K19" i="20"/>
  <c r="L19" i="20"/>
  <c r="E20" i="20"/>
  <c r="F20" i="20"/>
  <c r="G20" i="20"/>
  <c r="H20" i="20"/>
  <c r="I20" i="20"/>
  <c r="J20" i="20"/>
  <c r="K20" i="20"/>
  <c r="L20" i="20"/>
  <c r="E23" i="20"/>
  <c r="F23" i="20"/>
  <c r="G23" i="20"/>
  <c r="H23" i="20"/>
  <c r="I23" i="20"/>
  <c r="J23" i="20"/>
  <c r="K23" i="20"/>
  <c r="L23" i="20"/>
  <c r="E24" i="20"/>
  <c r="F24" i="20"/>
  <c r="G24" i="20"/>
  <c r="H24" i="20"/>
  <c r="I24" i="20"/>
  <c r="J24" i="20"/>
  <c r="K24" i="20"/>
  <c r="L24" i="20"/>
  <c r="E25" i="20"/>
  <c r="F25" i="20"/>
  <c r="G25" i="20"/>
  <c r="H25" i="20"/>
  <c r="I25" i="20"/>
  <c r="J25" i="20"/>
  <c r="K25" i="20"/>
  <c r="L25" i="20"/>
  <c r="D21" i="9"/>
  <c r="E21" i="9"/>
  <c r="F21" i="9"/>
  <c r="G21" i="9"/>
  <c r="H21" i="9"/>
  <c r="I21" i="9"/>
  <c r="J21" i="9"/>
  <c r="K21" i="9"/>
  <c r="D23" i="9"/>
  <c r="E23" i="9"/>
  <c r="F23" i="9"/>
  <c r="G23" i="9"/>
  <c r="H23" i="9"/>
  <c r="I23" i="9"/>
  <c r="J23" i="9"/>
  <c r="K23" i="9"/>
  <c r="D25" i="9"/>
  <c r="E25" i="9"/>
  <c r="F25" i="9"/>
  <c r="G25" i="9"/>
  <c r="H25" i="9"/>
  <c r="I25" i="9"/>
  <c r="J25" i="9"/>
  <c r="K25" i="9"/>
  <c r="D27" i="9"/>
  <c r="E27" i="9"/>
  <c r="F27" i="9"/>
  <c r="G27" i="9"/>
  <c r="H27" i="9"/>
  <c r="I27" i="9"/>
  <c r="J27" i="9"/>
  <c r="K27" i="9"/>
  <c r="D28" i="9"/>
  <c r="E28" i="9"/>
  <c r="F28" i="9"/>
  <c r="G28" i="9"/>
  <c r="H28" i="9"/>
  <c r="I28" i="9"/>
  <c r="J28" i="9"/>
  <c r="K28" i="9"/>
  <c r="D35" i="9"/>
  <c r="E35" i="9"/>
  <c r="F35" i="9"/>
  <c r="G35" i="9"/>
  <c r="H35" i="9"/>
  <c r="I35" i="9"/>
  <c r="J35" i="9"/>
  <c r="K35" i="9"/>
  <c r="D36" i="9"/>
  <c r="E36" i="9"/>
  <c r="F36" i="9"/>
  <c r="G36" i="9"/>
  <c r="H36" i="9"/>
  <c r="I36" i="9"/>
  <c r="J36" i="9"/>
  <c r="K36" i="9"/>
  <c r="D46" i="9"/>
  <c r="E46" i="9"/>
  <c r="F46" i="9"/>
  <c r="G46" i="9"/>
  <c r="H46" i="9"/>
  <c r="I46" i="9"/>
  <c r="J46" i="9"/>
  <c r="K46" i="9"/>
  <c r="D49" i="9"/>
  <c r="E49" i="9"/>
  <c r="F49" i="9"/>
  <c r="G49" i="9"/>
  <c r="H49" i="9"/>
  <c r="I49" i="9"/>
  <c r="J49" i="9"/>
  <c r="K49" i="9"/>
  <c r="D51" i="9"/>
  <c r="E51" i="9"/>
  <c r="F51" i="9"/>
  <c r="G51" i="9"/>
  <c r="H51" i="9"/>
  <c r="I51" i="9"/>
  <c r="J51" i="9"/>
  <c r="K51" i="9"/>
  <c r="D52" i="9"/>
  <c r="E52" i="9"/>
  <c r="F52" i="9"/>
  <c r="G52" i="9"/>
  <c r="H52" i="9"/>
  <c r="I52" i="9"/>
  <c r="J52" i="9"/>
  <c r="K52" i="9"/>
  <c r="D67" i="9"/>
  <c r="E67" i="9"/>
  <c r="F67" i="9"/>
  <c r="G67" i="9"/>
  <c r="H67" i="9"/>
  <c r="I67" i="9"/>
  <c r="J67" i="9"/>
  <c r="K67" i="9"/>
  <c r="D70" i="9"/>
  <c r="E70" i="9"/>
  <c r="F70" i="9"/>
  <c r="G70" i="9"/>
  <c r="H70" i="9"/>
  <c r="I70" i="9"/>
  <c r="J70" i="9"/>
  <c r="K70" i="9"/>
  <c r="D72" i="9"/>
  <c r="E72" i="9"/>
  <c r="F72" i="9"/>
  <c r="G72" i="9"/>
  <c r="H72" i="9"/>
  <c r="I72" i="9"/>
  <c r="J72" i="9"/>
  <c r="K72" i="9"/>
  <c r="D77" i="9"/>
  <c r="E77" i="9"/>
  <c r="F77" i="9"/>
  <c r="G77" i="9"/>
  <c r="H77" i="9"/>
  <c r="I77" i="9"/>
  <c r="J77" i="9"/>
  <c r="K77" i="9"/>
  <c r="D85" i="9"/>
  <c r="E85" i="9"/>
  <c r="F85" i="9"/>
  <c r="G85" i="9"/>
  <c r="H85" i="9"/>
  <c r="I85" i="9"/>
  <c r="J85" i="9"/>
  <c r="K85" i="9"/>
  <c r="D94" i="9"/>
  <c r="E94" i="9"/>
  <c r="F94" i="9"/>
  <c r="G94" i="9"/>
  <c r="H94" i="9"/>
  <c r="I94" i="9"/>
  <c r="J94" i="9"/>
  <c r="K94" i="9"/>
  <c r="D95" i="9"/>
  <c r="E95" i="9"/>
  <c r="F95" i="9"/>
  <c r="G95" i="9"/>
  <c r="H95" i="9"/>
  <c r="I95" i="9"/>
  <c r="J95" i="9"/>
  <c r="K95" i="9"/>
  <c r="D97" i="9"/>
  <c r="E97" i="9"/>
  <c r="F97" i="9"/>
  <c r="G97" i="9"/>
  <c r="H97" i="9"/>
  <c r="I97" i="9"/>
  <c r="J97" i="9"/>
  <c r="K97" i="9"/>
  <c r="E99" i="9"/>
  <c r="F99" i="9"/>
  <c r="G99" i="9"/>
  <c r="H99" i="9"/>
  <c r="I99" i="9"/>
  <c r="J99" i="9"/>
  <c r="K99" i="9"/>
  <c r="D100" i="9"/>
  <c r="E100" i="9"/>
  <c r="F100" i="9"/>
  <c r="G100" i="9"/>
  <c r="H100" i="9"/>
  <c r="I100" i="9"/>
  <c r="J100" i="9"/>
  <c r="K100" i="9"/>
  <c r="D101" i="9"/>
  <c r="E101" i="9"/>
  <c r="F101" i="9"/>
  <c r="G101" i="9"/>
  <c r="H101" i="9"/>
  <c r="I101" i="9"/>
  <c r="J101" i="9"/>
  <c r="K101" i="9"/>
  <c r="D102" i="9"/>
  <c r="E102" i="9"/>
  <c r="F102" i="9"/>
  <c r="G102" i="9"/>
  <c r="H102" i="9"/>
  <c r="I102" i="9"/>
  <c r="J102" i="9"/>
  <c r="K102" i="9"/>
  <c r="D105" i="9"/>
  <c r="E105" i="9"/>
  <c r="F105" i="9"/>
  <c r="G105" i="9"/>
  <c r="H105" i="9"/>
  <c r="I105" i="9"/>
  <c r="J105" i="9"/>
  <c r="K105" i="9"/>
  <c r="D106" i="9"/>
  <c r="E106" i="9"/>
  <c r="F106" i="9"/>
  <c r="G106" i="9"/>
  <c r="H106" i="9"/>
  <c r="I106" i="9"/>
  <c r="J106" i="9"/>
  <c r="K106" i="9"/>
  <c r="D109" i="9"/>
  <c r="E109" i="9"/>
  <c r="F109" i="9"/>
  <c r="G109" i="9"/>
  <c r="H109" i="9"/>
  <c r="I109" i="9"/>
  <c r="J109" i="9"/>
  <c r="K109" i="9"/>
  <c r="D110" i="9"/>
  <c r="E110" i="9"/>
  <c r="F110" i="9"/>
  <c r="G110" i="9"/>
  <c r="H110" i="9"/>
  <c r="I110" i="9"/>
  <c r="J110" i="9"/>
  <c r="K110" i="9"/>
  <c r="D111" i="9"/>
  <c r="E111" i="9"/>
  <c r="F111" i="9"/>
  <c r="G111" i="9"/>
  <c r="H111" i="9"/>
  <c r="I111" i="9"/>
  <c r="J111" i="9"/>
  <c r="K11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B33" authorId="0" shapeId="0" xr:uid="{00000000-0006-0000-0100-000001000000}">
      <text>
        <r>
          <rPr>
            <sz val="10"/>
            <rFont val="Arial"/>
            <family val="2"/>
          </rPr>
          <t>Divyanshu Vatsa:
Pre-tax cost of debt for WACC — linked to financing driver row 37 to prevent mismatch.</t>
        </r>
      </text>
    </comment>
    <comment ref="C44" authorId="1" shapeId="0" xr:uid="{CCC1C27F-EFEF-4045-98B0-03FE4468985B}">
      <text>
        <r>
          <rPr>
            <b/>
            <sz val="9"/>
            <color indexed="81"/>
            <rFont val="Tahoma"/>
            <family val="2"/>
          </rPr>
          <t>Divyanshu Vatsa:</t>
        </r>
        <r>
          <rPr>
            <sz val="9"/>
            <color indexed="81"/>
            <rFont val="Tahoma"/>
            <family val="2"/>
          </rPr>
          <t xml:space="preserve">
Aligned to mentor benchmark: 391,147.6 MT / 429,000 MT = 91.1766%. Source: Mentor Engine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72" authorId="0" shapeId="0" xr:uid="{00000000-0006-0000-0200-000005000000}">
      <text>
        <r>
          <rPr>
            <sz val="10"/>
            <rFont val="Arial"/>
            <family val="2"/>
          </rPr>
          <t>Divyanshu Vatsa:
Fixed: was MAX(...,0) which suppressed negative cash. Now shows actual cash balance.</t>
        </r>
      </text>
    </comment>
    <comment ref="E72" authorId="0" shapeId="0" xr:uid="{00000000-0006-0000-0200-000007000000}">
      <text>
        <r>
          <rPr>
            <sz val="10"/>
            <rFont val="Arial"/>
            <family val="2"/>
          </rPr>
          <t>Divyanshu Vatsa:
Fixed: was MAX(...,0) which suppressed negative cash. Now shows actual cash balance.</t>
        </r>
      </text>
    </comment>
    <comment ref="B99" authorId="0" shapeId="0" xr:uid="{00000000-0006-0000-0200-000001000000}">
      <text>
        <r>
          <rPr>
            <sz val="10"/>
            <rFont val="Arial"/>
            <family val="2"/>
          </rPr>
          <t>Divyanshu Vatsa:
Updated: ~17% → ~16.8% to match actual FY29E EBITDA margin (H7=16.8%).</t>
        </r>
      </text>
    </comment>
    <comment ref="B102" authorId="0" shapeId="0" xr:uid="{00000000-0006-0000-0200-000002000000}">
      <text>
        <r>
          <rPr>
            <sz val="10"/>
            <rFont val="Arial"/>
            <family val="2"/>
          </rPr>
          <t>Divyanshu Vatsa:
Was a duplicate of the B101 section header. Now serves as a brief summary intro.</t>
        </r>
      </text>
    </comment>
    <comment ref="B103" authorId="0" shapeId="0" xr:uid="{00000000-0006-0000-0200-000003000000}">
      <text>
        <r>
          <rPr>
            <sz val="10"/>
            <rFont val="Arial"/>
            <family val="2"/>
          </rPr>
          <t>Divyanshu Vatsa:
Updated: ISCR 9.8x→11.6x, Net Debt/EBITDA -1.0x→-0.7x (post bank charges fix). Amortization ~₹45→₹34-45 (FY27=₹34).</t>
        </r>
      </text>
    </comment>
    <comment ref="B105" authorId="0" shapeId="0" xr:uid="{00000000-0006-0000-0200-000004000000}">
      <text>
        <r>
          <rPr>
            <sz val="10"/>
            <rFont val="Arial"/>
            <family val="2"/>
          </rPr>
          <t>G16 IS FY29E (3-Stmt has cols B-G only). Text now shows 10.7% to 16.8% correctly.</t>
        </r>
      </text>
    </comment>
    <comment ref="D110" authorId="0" shapeId="0" xr:uid="{00000000-0006-0000-0200-000006000000}">
      <text>
        <r>
          <rPr>
            <sz val="10"/>
            <rFont val="Arial"/>
            <family val="2"/>
          </rPr>
          <t>DSCR (Gross) = (EBITDA − Current Tax) / (Interest + TL Principal Repaid). Principal from Debt Schedule row 7 (negative = repayment). Fixed sign convention: MAX(0, −net_draw) captures repayments correctly.</t>
        </r>
      </text>
    </comment>
    <comment ref="E110" authorId="0" shapeId="0" xr:uid="{00000000-0006-0000-0200-000008000000}">
      <text>
        <r>
          <rPr>
            <sz val="10"/>
            <rFont val="Arial"/>
            <family val="2"/>
          </rPr>
          <t>FY26E DSCR (Gross). Fixed sign: MAX(0,-net_draw). E7=+146.23 (drawdown) → MAX(0,-146.23)=0 → no principal in denominator.</t>
        </r>
      </text>
    </comment>
    <comment ref="F110" authorId="0" shapeId="0" xr:uid="{00000000-0006-0000-0200-000009000000}">
      <text>
        <r>
          <rPr>
            <sz val="10"/>
            <rFont val="Arial"/>
            <family val="2"/>
          </rPr>
          <t>FY27E DSCR (Gross). Fixed sign: F7=-34.4 (repayment) → MAX(0,34.4)=34.4.</t>
        </r>
      </text>
    </comment>
    <comment ref="G110" authorId="0" shapeId="0" xr:uid="{00000000-0006-0000-0200-00000A000000}">
      <text>
        <r>
          <rPr>
            <sz val="10"/>
            <rFont val="Arial"/>
            <family val="2"/>
          </rPr>
          <t>FY28E DSCR (Gross). Fixed sign: G7=-45.1 → MAX(0,45.1)=45.1.</t>
        </r>
      </text>
    </comment>
    <comment ref="H110" authorId="0" shapeId="0" xr:uid="{00000000-0006-0000-0200-00000B000000}">
      <text>
        <r>
          <rPr>
            <sz val="10"/>
            <rFont val="Arial"/>
            <family val="2"/>
          </rPr>
          <t>FY29E DSCR (Gross). Fixed sign: H7=-45.3 → MAX(0,45.3)=45.3.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L45" authorId="0" shapeId="0" xr:uid="{00000000-0006-0000-0400-000001000000}">
      <text>
        <r>
          <rPr>
            <sz val="10"/>
            <rFont val="Arial"/>
            <family val="2"/>
          </rPr>
          <t>Divyanshu Vatsa:
Tolerance set to ₹0.01 Cr to accept sub-rupee rounding differences.</t>
        </r>
      </text>
    </comment>
    <comment ref="L92" authorId="1" shapeId="0" xr:uid="{5CB8114F-CC8C-4563-834F-4F2F7F469787}">
      <text>
        <r>
          <rPr>
            <b/>
            <sz val="9"/>
            <color indexed="81"/>
            <rFont val="Tahoma"/>
            <family val="2"/>
          </rPr>
          <t>Other Current Assets residual = Total CA (BS Summary L61) − Inv − Recv − Cash − (Short-term Investments + Loans). Auto-rounding plug: snaps to 0 if residual &lt; ₹0.05 Cr (Capitaline source rounding).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Divyanshu Vatsa</author>
  </authors>
  <commentList>
    <comment ref="M15" authorId="0" shapeId="0" xr:uid="{DEFD635D-66B0-4BF6-9397-26659E19DD03}">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N15" authorId="0" shapeId="0" xr:uid="{DDE24F26-0281-4F44-B965-4F97B94CC33E}">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O15" authorId="0" shapeId="0" xr:uid="{13CBAA13-EE2C-4E26-A39D-E70C7CFD6A00}">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P15" authorId="0" shapeId="0" xr:uid="{5BE4FDE1-B971-4A27-B226-C7B6590A3938}">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Q15" authorId="0" shapeId="0" xr:uid="{80C9754D-09E3-48AB-9D44-3191CE10AD84}">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R15" authorId="0" shapeId="0" xr:uid="{F34568B2-5467-48C7-A98D-21C693AB5FBE}">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S15" authorId="0" shapeId="0" xr:uid="{485BF9F3-AC31-4B25-90BB-A4C10540DCF6}">
      <text>
        <r>
          <rPr>
            <b/>
            <sz val="9"/>
            <color indexed="81"/>
            <rFont val="Tahoma"/>
            <family val="2"/>
          </rPr>
          <t>Divyanshu Vatsa:</t>
        </r>
        <r>
          <rPr>
            <sz val="9"/>
            <color indexed="81"/>
            <rFont val="Tahoma"/>
            <family val="2"/>
          </rPr>
          <t xml:space="preserve">
Net Extraordinary Items not modeled in projection period (assumed nil going forward).</t>
        </r>
      </text>
    </comment>
    <comment ref="T15" authorId="0" shapeId="0" xr:uid="{4570F3AB-EE6C-4595-B3C9-1109BF593E17}">
      <text>
        <r>
          <rPr>
            <b/>
            <sz val="9"/>
            <color indexed="81"/>
            <rFont val="Tahoma"/>
            <family val="2"/>
          </rPr>
          <t>Divyanshu Vatsa:</t>
        </r>
        <r>
          <rPr>
            <sz val="9"/>
            <color indexed="81"/>
            <rFont val="Tahoma"/>
            <family val="2"/>
          </rPr>
          <t xml:space="preserve">
Net Extraordinary Items not modeled in projection period (assumed nil going forward).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D13" authorId="0" shapeId="0" xr:uid="{00000000-0006-0000-0700-000001000000}">
      <text>
        <r>
          <rPr>
            <sz val="10"/>
            <rFont val="Arial"/>
            <family val="2"/>
          </rPr>
          <t>Binding driver for all COGS calculations. The COGS decomposition in Section 6 is a memo-only cross-check. Change this % to run scenarios.</t>
        </r>
      </text>
    </comment>
    <comment ref="E13" authorId="0" shapeId="0" xr:uid="{00000000-0006-0000-0700-00000A000000}">
      <text>
        <r>
          <rPr>
            <sz val="10"/>
            <rFont val="Arial"/>
            <family val="2"/>
          </rPr>
          <t>FY26E COGS% = FY25A base + FY26 taper (SE row 66). RM% drops to 75% on favorable coal pricing for new COB-2 commissioning year.</t>
        </r>
      </text>
    </comment>
    <comment ref="F13" authorId="0" shapeId="0" xr:uid="{00000000-0006-0000-0700-000010000000}">
      <text>
        <r>
          <rPr>
            <sz val="10"/>
            <rFont val="Arial"/>
            <family val="2"/>
          </rPr>
          <t>FY27E COGS% = FY26E + FY27 normalization (SE row 67). RM% rises as coal consumption normalizes to 80.5% on full COB-2 ramp.</t>
        </r>
      </text>
    </comment>
    <comment ref="G13" authorId="0" shapeId="0" xr:uid="{00000000-0006-0000-0700-000014000000}">
      <text>
        <r>
          <rPr>
            <sz val="10"/>
            <rFont val="Arial"/>
            <family val="2"/>
          </rPr>
          <t>FY28E COGS% = FY27E + FY28+ taper (SE row 68). Gradual operating leverage improvement.</t>
        </r>
      </text>
    </comment>
    <comment ref="H13" authorId="0" shapeId="0" xr:uid="{00000000-0006-0000-0700-000018000000}">
      <text>
        <r>
          <rPr>
            <sz val="10"/>
            <rFont val="Arial"/>
            <family val="2"/>
          </rPr>
          <t>FY29E COGS% = FY28E + FY28+ taper (SE row 68, same rate). Terminal steady-state approach.</t>
        </r>
      </text>
    </comment>
    <comment ref="D14" authorId="0" shapeId="0" xr:uid="{00000000-0006-0000-0700-000002000000}">
      <text>
        <r>
          <rPr>
            <sz val="10"/>
            <rFont val="Arial"/>
            <family val="2"/>
          </rPr>
          <t>Divyanshu Vatsa:
COGS = Net Sales × COGS%. Top-down approach replaces bottom-up coal formula to prevent margin drift.</t>
        </r>
      </text>
    </comment>
    <comment ref="D17" authorId="1" shapeId="0" xr:uid="{9CF789B3-A44F-436D-9C92-F1C3A0A85817}">
      <text>
        <r>
          <rPr>
            <b/>
            <sz val="9"/>
            <color indexed="81"/>
            <rFont val="Tahoma"/>
            <family val="2"/>
          </rPr>
          <t>Divyanshu Vatsa:</t>
        </r>
        <r>
          <rPr>
            <sz val="9"/>
            <color indexed="81"/>
            <rFont val="Tahoma"/>
            <family val="2"/>
          </rPr>
          <t xml:space="preserve">
Differs from mentor's flat ₹12.45 Cr approach. EXP uses 0.93% of sales (~₹7-9 Cr/yr higher). See Dashboard Section 7 for deviation table.</t>
        </r>
      </text>
    </comment>
    <comment ref="E18" authorId="1" shapeId="0" xr:uid="{5E0DE397-BD10-4E43-8540-F3461715F1BD}">
      <text>
        <r>
          <rPr>
            <b/>
            <sz val="9"/>
            <color indexed="81"/>
            <rFont val="Tahoma"/>
            <family val="2"/>
          </rPr>
          <t>Divyanshu Vatsa:</t>
        </r>
        <r>
          <rPr>
            <sz val="9"/>
            <color indexed="81"/>
            <rFont val="Tahoma"/>
            <family val="2"/>
          </rPr>
          <t xml:space="preserve">
Mentor benchmark: ₹12.45 Cr flat. Our model: ₹19.67 Cr (0.93% × Sales). Δ = +₹7.2 Cr. See rationale.</t>
        </r>
      </text>
    </comment>
    <comment ref="D25" authorId="1" shapeId="0" xr:uid="{1E2C8899-86B5-44D5-A96C-38F049003185}">
      <text>
        <r>
          <rPr>
            <b/>
            <sz val="9"/>
            <color indexed="81"/>
            <rFont val="Tahoma"/>
            <family val="2"/>
          </rPr>
          <t>Net COGS% improvement from FY25A to FY29E. V-shaped: drops to 79% in FY26E (favorable RM%) then normalizes to 80.6%.</t>
        </r>
      </text>
    </comment>
    <comment ref="D26" authorId="1" shapeId="0" xr:uid="{927D7EB3-4B3E-4BC4-8144-85A0F90F5AF7}">
      <text>
        <r>
          <rPr>
            <b/>
            <sz val="9"/>
            <color indexed="81"/>
            <rFont val="Tahoma"/>
            <family val="2"/>
          </rPr>
          <t>Divyanshu Vatsa:</t>
        </r>
        <r>
          <rPr>
            <sz val="9"/>
            <color indexed="81"/>
            <rFont val="Tahoma"/>
            <family val="2"/>
          </rPr>
          <t xml:space="preserve">
= FY29E CDQ cost saving (₹45.6 Cr) ÷ FY29E Net Sales. CDQ heat recovery captive power saving reduces effective COGS.</t>
        </r>
      </text>
    </comment>
    <comment ref="D27" authorId="1" shapeId="0" xr:uid="{E43CB86C-0E73-4B59-A9BC-D63B67280EE4}">
      <text>
        <r>
          <rPr>
            <b/>
            <sz val="9"/>
            <color indexed="81"/>
            <rFont val="Tahoma"/>
            <family val="2"/>
          </rPr>
          <t>Divyanshu Vatsa:</t>
        </r>
        <r>
          <rPr>
            <sz val="9"/>
            <color indexed="81"/>
            <rFont val="Tahoma"/>
            <family val="2"/>
          </rPr>
          <t xml:space="preserve">
= (FY25A Employee% + FY25A SGA%) − (FY29E Employee% + FY29E SGA%). Shows fixed-cost dilution as revenue scales. Currently 0% because model holds both ratios flat.</t>
        </r>
      </text>
    </comment>
    <comment ref="D31" authorId="1" shapeId="0" xr:uid="{DC3F8AC4-D13A-4EB2-A22C-7B5DAC26027C}">
      <text>
        <r>
          <rPr>
            <b/>
            <sz val="9"/>
            <color indexed="81"/>
            <rFont val="Tahoma"/>
            <family val="2"/>
          </rPr>
          <t>Divyanshu Vatsa:</t>
        </r>
        <r>
          <rPr>
            <sz val="9"/>
            <color indexed="81"/>
            <rFont val="Tahoma"/>
            <family val="2"/>
          </rPr>
          <t xml:space="preserve">
Should be near zero if all margin drivers are captured. Residual reflects CDQ saving already embedded in COGS% (double-count offset) or other interaction effects.</t>
        </r>
      </text>
    </comment>
    <comment ref="D33" authorId="1" shapeId="0" xr:uid="{F978509F-A016-42C9-BFF0-CDDB72E48CBE}">
      <text>
        <r>
          <rPr>
            <b/>
            <sz val="9"/>
            <color indexed="81"/>
            <rFont val="Tahoma"/>
            <family val="2"/>
          </rPr>
          <t>Divyanshu Vatsa:</t>
        </r>
        <r>
          <rPr>
            <sz val="9"/>
            <color indexed="81"/>
            <rFont val="Tahoma"/>
            <family val="2"/>
          </rPr>
          <t xml:space="preserve">
FY25A historical RM% per annual report</t>
        </r>
      </text>
    </comment>
    <comment ref="E33" authorId="1" shapeId="0" xr:uid="{D4BFF244-C5D4-46CF-9182-4494425E6049}">
      <text>
        <r>
          <rPr>
            <b/>
            <sz val="9"/>
            <color indexed="81"/>
            <rFont val="Tahoma"/>
            <family val="2"/>
          </rPr>
          <t>Divyanshu Vatsa:</t>
        </r>
        <r>
          <rPr>
            <sz val="9"/>
            <color indexed="81"/>
            <rFont val="Tahoma"/>
            <family val="2"/>
          </rPr>
          <t xml:space="preserve">
Mentor benchmark: favorable coal pricing in COB-2 commissioning year</t>
        </r>
      </text>
    </comment>
    <comment ref="F33" authorId="1" shapeId="0" xr:uid="{285DFDC9-9CA8-44FF-8C5C-0FF12E5EC42A}">
      <text>
        <r>
          <rPr>
            <b/>
            <sz val="9"/>
            <color indexed="81"/>
            <rFont val="Tahoma"/>
            <family val="2"/>
          </rPr>
          <t>Divyanshu Vatsa:</t>
        </r>
        <r>
          <rPr>
            <sz val="9"/>
            <color indexed="81"/>
            <rFont val="Tahoma"/>
            <family val="2"/>
          </rPr>
          <t xml:space="preserve">
Mentor: normalized RM% at full COB-2 ramp</t>
        </r>
      </text>
    </comment>
    <comment ref="D35" authorId="1" shapeId="0" xr:uid="{78E70196-648F-4114-8994-B50A5F6AC1FA}">
      <text>
        <r>
          <rPr>
            <b/>
            <sz val="9"/>
            <color indexed="81"/>
            <rFont val="Tahoma"/>
            <family val="2"/>
          </rPr>
          <t>Divyanshu Vatsa:</t>
        </r>
        <r>
          <rPr>
            <sz val="9"/>
            <color indexed="81"/>
            <rFont val="Tahoma"/>
            <family val="2"/>
          </rPr>
          <t xml:space="preserve">
FY25A actual changes in inventories</t>
        </r>
      </text>
    </comment>
    <comment ref="E35" authorId="1" shapeId="0" xr:uid="{B73B5C83-0A4C-4E7A-93AD-47E494B1D332}">
      <text>
        <r>
          <rPr>
            <b/>
            <sz val="9"/>
            <color indexed="81"/>
            <rFont val="Tahoma"/>
            <family val="2"/>
          </rPr>
          <t>Divyanshu Vatsa:</t>
        </r>
        <r>
          <rPr>
            <sz val="9"/>
            <color indexed="81"/>
            <rFont val="Tahoma"/>
            <family val="2"/>
          </rPr>
          <t xml:space="preserve">
Mentor FY26E: -(Closing Inv - Opening Inv) from inventory build</t>
        </r>
      </text>
    </comment>
    <comment ref="F35" authorId="1" shapeId="0" xr:uid="{2E1C685E-0658-4F32-A675-288BA9CF864D}">
      <text>
        <r>
          <rPr>
            <b/>
            <sz val="9"/>
            <color indexed="81"/>
            <rFont val="Tahoma"/>
            <family val="2"/>
          </rPr>
          <t>Divyanshu Vatsa:</t>
        </r>
        <r>
          <rPr>
            <sz val="9"/>
            <color indexed="81"/>
            <rFont val="Tahoma"/>
            <family val="2"/>
          </rPr>
          <t xml:space="preserve">
Mentor FY27E</t>
        </r>
      </text>
    </comment>
    <comment ref="G35" authorId="1" shapeId="0" xr:uid="{A8846B45-91FD-40B9-AABD-0516FA7D4B11}">
      <text>
        <r>
          <rPr>
            <b/>
            <sz val="9"/>
            <color indexed="81"/>
            <rFont val="Tahoma"/>
            <family val="2"/>
          </rPr>
          <t>Divyanshu Vatsa:</t>
        </r>
        <r>
          <rPr>
            <sz val="9"/>
            <color indexed="81"/>
            <rFont val="Tahoma"/>
            <family val="2"/>
          </rPr>
          <t xml:space="preserve">
Mentor FY28E+: stable inventory</t>
        </r>
      </text>
    </comment>
    <comment ref="E41" authorId="1" shapeId="0" xr:uid="{19094424-03C2-4582-8704-6F0F94B29F01}">
      <text>
        <r>
          <rPr>
            <b/>
            <sz val="9"/>
            <color indexed="81"/>
            <rFont val="Tahoma"/>
            <family val="2"/>
          </rPr>
          <t>CDQ saving (positive value = cost reduction). Subtracted in total below.</t>
        </r>
      </text>
    </comment>
    <comment ref="E49" authorId="0" shapeId="0" xr:uid="{00000000-0006-0000-0700-00000B000000}">
      <text>
        <r>
          <rPr>
            <sz val="10"/>
            <rFont val="Arial"/>
            <family val="2"/>
          </rPr>
          <t>Divyanshu Vatsa:
FY26E Debtor Days = MAX(Scenario floor, prior year + scenario taper). Floor in Scenario Engine row 79, taper in row 77.</t>
        </r>
      </text>
    </comment>
    <comment ref="E51" authorId="0" shapeId="0" xr:uid="{00000000-0006-0000-0700-00000C000000}">
      <text>
        <r>
          <rPr>
            <sz val="10"/>
            <rFont val="Arial"/>
            <family val="2"/>
          </rPr>
          <t>Divyanshu Vatsa:
FY26E Inventory Days = MAX(Scenario floor, prior year + scenario taper). Floor in Scenario Engine row 80, taper in row 78.</t>
        </r>
      </text>
    </comment>
    <comment ref="D53" authorId="0" shapeId="0" xr:uid="{00000000-0006-0000-0700-000003000000}">
      <text>
        <r>
          <rPr>
            <sz val="10"/>
            <rFont val="Arial"/>
            <family val="2"/>
          </rPr>
          <t>Reset to normalized 40 days from FY25 onward (flat, not phased). FY24 historical was ~144 days — abnormally high due to deferred supplier payments. All years link to Scenario Engine row 29.</t>
        </r>
      </text>
    </comment>
    <comment ref="E53" authorId="0" shapeId="0" xr:uid="{00000000-0006-0000-0700-00000D000000}">
      <text>
        <r>
          <rPr>
            <sz val="10"/>
            <rFont val="Arial"/>
            <family val="2"/>
          </rPr>
          <t>Normalized 40 days, consistent with industry standard for bulk commodity imports. Linked to Scenario Engine.</t>
        </r>
      </text>
    </comment>
    <comment ref="F53" authorId="0" shapeId="0" xr:uid="{00000000-0006-0000-0700-000011000000}">
      <text>
        <r>
          <rPr>
            <sz val="10"/>
            <rFont val="Arial"/>
            <family val="2"/>
          </rPr>
          <t>Locked to normalized level. Linked to Scenario Engine.</t>
        </r>
      </text>
    </comment>
    <comment ref="G53" authorId="0" shapeId="0" xr:uid="{00000000-0006-0000-0700-000015000000}">
      <text>
        <r>
          <rPr>
            <sz val="10"/>
            <rFont val="Arial"/>
            <family val="2"/>
          </rPr>
          <t>Locked to normalized level. Linked to Scenario Engine.</t>
        </r>
      </text>
    </comment>
    <comment ref="H53" authorId="0" shapeId="0" xr:uid="{00000000-0006-0000-0700-000019000000}">
      <text>
        <r>
          <rPr>
            <sz val="10"/>
            <rFont val="Arial"/>
            <family val="2"/>
          </rPr>
          <t>Locked to normalized level. Linked to Scenario Engine.</t>
        </r>
      </text>
    </comment>
    <comment ref="D56" authorId="1" shapeId="0" xr:uid="{5FB0EF50-1C7C-462B-BC63-AA901CE83BD5}">
      <text>
        <r>
          <rPr>
            <b/>
            <sz val="9"/>
            <color indexed="81"/>
            <rFont val="Tahoma"/>
            <family val="2"/>
          </rPr>
          <t>Divyanshu Vatsa:</t>
        </r>
        <r>
          <rPr>
            <sz val="9"/>
            <color indexed="81"/>
            <rFont val="Tahoma"/>
            <family val="2"/>
          </rPr>
          <t xml:space="preserve">
Single-source maintenance capex rate. Edit here to flex maintenance capex intensity across all forecast years.</t>
        </r>
      </text>
    </comment>
    <comment ref="D58" authorId="0" shapeId="0" xr:uid="{00000000-0006-0000-0700-000004000000}">
      <text>
        <r>
          <rPr>
            <sz val="10"/>
            <rFont val="Arial"/>
            <family val="2"/>
          </rPr>
          <t>= Maint Capex Rate ($D$56) × Opening Gross Block.</t>
        </r>
      </text>
    </comment>
    <comment ref="D63" authorId="0" shapeId="0" xr:uid="{00000000-0006-0000-0700-000005000000}">
      <text>
        <r>
          <rPr>
            <sz val="10"/>
            <rFont val="Arial"/>
            <family val="2"/>
          </rPr>
          <t>Divyanshu Vatsa:
FY24 Net Fixed Assets (461.01) + CWIP (433.04) capitalized upon Battery-2 commissioning</t>
        </r>
      </text>
    </comment>
    <comment ref="D65" authorId="0" shapeId="0" xr:uid="{00000000-0006-0000-0700-000006000000}">
      <text>
        <r>
          <rPr>
            <sz val="10"/>
            <rFont val="Arial"/>
            <family val="2"/>
          </rPr>
          <t>Half-year convention: (Opening Gross Block + Capex/2) × Dep Rate. New capex depreciates for half the year in the year of addition. Replaces the prior CWIP step-up formula.</t>
        </r>
      </text>
    </comment>
    <comment ref="E65" authorId="0" shapeId="0" xr:uid="{00000000-0006-0000-0700-00000E000000}">
      <text>
        <r>
          <rPr>
            <sz val="10"/>
            <rFont val="Arial"/>
            <family val="2"/>
          </rPr>
          <t>Divyanshu Vatsa:
Half-year convention: (Opening Gross Block + Capex/2) × Dep Rate.</t>
        </r>
      </text>
    </comment>
    <comment ref="F65" authorId="0" shapeId="0" xr:uid="{00000000-0006-0000-0700-000012000000}">
      <text>
        <r>
          <rPr>
            <sz val="10"/>
            <rFont val="Arial"/>
            <family val="2"/>
          </rPr>
          <t>Divyanshu Vatsa:
Half-year convention: (Opening Gross Block + Capex/2) × Dep Rate.</t>
        </r>
      </text>
    </comment>
    <comment ref="G65" authorId="0" shapeId="0" xr:uid="{00000000-0006-0000-0700-000016000000}">
      <text>
        <r>
          <rPr>
            <sz val="10"/>
            <rFont val="Arial"/>
            <family val="2"/>
          </rPr>
          <t>Divyanshu Vatsa:
Half-year convention: (Opening Gross Block + Capex/2) × Dep Rate.</t>
        </r>
      </text>
    </comment>
    <comment ref="H65" authorId="0" shapeId="0" xr:uid="{00000000-0006-0000-0700-00001A000000}">
      <text>
        <r>
          <rPr>
            <sz val="10"/>
            <rFont val="Arial"/>
            <family val="2"/>
          </rPr>
          <t>Divyanshu Vatsa:
Half-year convention: (Opening Gross Block + Capex/2) × Dep Rate.</t>
        </r>
      </text>
    </comment>
    <comment ref="D68" authorId="0" shapeId="0" xr:uid="{00000000-0006-0000-0700-000007000000}">
      <text>
        <r>
          <rPr>
            <sz val="10"/>
            <rFont val="Arial"/>
            <family val="2"/>
          </rPr>
          <t>Divyanshu Vatsa:
Source: Balance Sheet Summary FY24, LT Borrowings incl. current portion = ₹324.01 Cr</t>
        </r>
      </text>
    </comment>
    <comment ref="D69" authorId="0" shapeId="0" xr:uid="{00000000-0006-0000-0700-000008000000}">
      <text>
        <r>
          <rPr>
            <sz val="10"/>
            <rFont val="Arial"/>
            <family val="2"/>
          </rPr>
          <t>Divyanshu Vatsa:
FY25 net debt movement: Opening ₹324.01 Cr → Closing ₹436.82 Cr per BS Summary L27. Negative value reflects net drawdown (new TL raised &gt; scheduled repayment) as company funded Battery-2 commissioning.</t>
        </r>
      </text>
    </comment>
    <comment ref="D71" authorId="1" shapeId="0" xr:uid="{8B43C6FF-E7FF-471D-A3D6-DB3681B02352}">
      <text>
        <r>
          <rPr>
            <b/>
            <sz val="9"/>
            <color indexed="81"/>
            <rFont val="Tahoma"/>
            <family val="2"/>
          </rPr>
          <t>Divyanshu Vatsa:</t>
        </r>
        <r>
          <rPr>
            <sz val="9"/>
            <color indexed="81"/>
            <rFont val="Tahoma"/>
            <family val="2"/>
          </rPr>
          <t xml:space="preserve">
Blended rate applicable to all term loan facilities. Scenario Engine can toggle this between 8.5% (Bull) and 10% (Bear).</t>
        </r>
      </text>
    </comment>
    <comment ref="D72" authorId="0" shapeId="0" xr:uid="{00000000-0006-0000-0700-000009000000}">
      <text>
        <r>
          <rPr>
            <sz val="10"/>
            <rFont val="Arial"/>
            <family val="2"/>
          </rPr>
          <t>Interest = (Beginning Term Debt × Rate) + (Prior Year Revolver × Rate). Uses beginning-of-year balance to eliminate circularity risk.</t>
        </r>
      </text>
    </comment>
    <comment ref="E72" authorId="0" shapeId="0" xr:uid="{00000000-0006-0000-0700-00000F000000}">
      <text>
        <r>
          <rPr>
            <sz val="10"/>
            <rFont val="Arial"/>
            <family val="2"/>
          </rPr>
          <t>Interest = (Beginning Term Debt × Rate) + (Prior Year Revolver × Rate). Uses beginning-of-year balance to eliminate circularity risk.</t>
        </r>
      </text>
    </comment>
    <comment ref="F72" authorId="0" shapeId="0" xr:uid="{00000000-0006-0000-0700-000013000000}">
      <text>
        <r>
          <rPr>
            <sz val="10"/>
            <rFont val="Arial"/>
            <family val="2"/>
          </rPr>
          <t>Divyanshu Vatsa:
Interest = (Avg Term Debt × Rate) + (Prior Year Revolver × Rate). Uses prior-year revolver to avoid circularity.</t>
        </r>
      </text>
    </comment>
    <comment ref="G72" authorId="0" shapeId="0" xr:uid="{00000000-0006-0000-0700-000017000000}">
      <text>
        <r>
          <rPr>
            <sz val="10"/>
            <rFont val="Arial"/>
            <family val="2"/>
          </rPr>
          <t>Divyanshu Vatsa:
Interest = (Avg Term Debt × Rate) + (Prior Year Revolver × Rate). Uses prior-year revolver to avoid circularity.</t>
        </r>
      </text>
    </comment>
    <comment ref="H72" authorId="0" shapeId="0" xr:uid="{00000000-0006-0000-0700-00001B000000}">
      <text>
        <r>
          <rPr>
            <sz val="10"/>
            <rFont val="Arial"/>
            <family val="2"/>
          </rPr>
          <t>Divyanshu Vatsa:
Interest = (Avg Term Debt × Rate) + (Prior Year Revolver × Rate). Uses prior-year revolver to avoid circularity.</t>
        </r>
      </text>
    </comment>
    <comment ref="D74" authorId="1" shapeId="0" xr:uid="{93F700D8-82C2-47D2-BDBE-5AAEDDE408B4}">
      <text>
        <r>
          <rPr>
            <b/>
            <sz val="9"/>
            <color indexed="81"/>
            <rFont val="Tahoma"/>
            <family val="2"/>
          </rPr>
          <t>Divyanshu Vatsa:</t>
        </r>
        <r>
          <rPr>
            <sz val="9"/>
            <color indexed="81"/>
            <rFont val="Tahoma"/>
            <family val="2"/>
          </rPr>
          <t xml:space="preserve">
Section 115BAA regime. Tax Working sheet performs CIT vs MAT dual test — this rate is a fallback used only in the WACC terminal value calculation.</t>
        </r>
      </text>
    </comment>
    <comment ref="E74" authorId="1" shapeId="0" xr:uid="{6B37D5FF-5F52-4873-ACC6-FB1208B60524}">
      <text>
        <r>
          <rPr>
            <b/>
            <sz val="9"/>
            <color indexed="81"/>
            <rFont val="Tahoma"/>
            <family val="2"/>
          </rPr>
          <t>Divyanshu Vatsa:</t>
        </r>
        <r>
          <rPr>
            <sz val="9"/>
            <color indexed="81"/>
            <rFont val="Tahoma"/>
            <family val="2"/>
          </rPr>
          <t xml:space="preserve">
Linked to FY26E base assumption ($D$74). Single-source tax rate cascade.</t>
        </r>
      </text>
    </comment>
    <comment ref="D75" authorId="1" shapeId="0" xr:uid="{5B115995-63B5-4B82-AF4B-D6CF56CA527D}">
      <text>
        <r>
          <rPr>
            <b/>
            <sz val="9"/>
            <color indexed="81"/>
            <rFont val="Tahoma"/>
            <family val="2"/>
          </rPr>
          <t>Divyanshu Vatsa:</t>
        </r>
        <r>
          <rPr>
            <sz val="9"/>
            <color indexed="81"/>
            <rFont val="Tahoma"/>
            <family val="2"/>
          </rPr>
          <t xml:space="preserve">
Source: Historical FS FY25A Other Income.</t>
        </r>
      </text>
    </comment>
    <comment ref="E75" authorId="1" shapeId="0" xr:uid="{08FE4AFB-F93C-4B24-ABFA-6651CF7F16EB}">
      <text>
        <r>
          <rPr>
            <b/>
            <sz val="9"/>
            <color indexed="81"/>
            <rFont val="Tahoma"/>
            <family val="2"/>
          </rPr>
          <t>Divyanshu Vatsa:</t>
        </r>
        <r>
          <rPr>
            <sz val="9"/>
            <color indexed="81"/>
            <rFont val="Tahoma"/>
            <family val="2"/>
          </rPr>
          <t xml:space="preserve">
Source: Mentor model FY26E other income. Drops to zero from FY27E as surplus cash deployed for debt repayment.</t>
        </r>
      </text>
    </comment>
    <comment ref="G90" authorId="1" shapeId="0" xr:uid="{4B05A09C-B39C-4E09-8D73-A09E3EBC9555}">
      <text>
        <r>
          <rPr>
            <b/>
            <sz val="9"/>
            <color indexed="81"/>
            <rFont val="Tahoma"/>
            <family val="2"/>
          </rPr>
          <t>Divyanshu Vatsa:</t>
        </r>
        <r>
          <rPr>
            <sz val="9"/>
            <color indexed="81"/>
            <rFont val="Tahoma"/>
            <family val="2"/>
          </rPr>
          <t xml:space="preserve">
FY28E: If 'Flat Revenue After Ramp'=Y (Bear), holds at FY27E level. Otherwise applies YoY growth.</t>
        </r>
      </text>
    </comment>
    <comment ref="E111" authorId="1" shapeId="0" xr:uid="{6BE6179E-2865-435E-98E4-418518DA662C}">
      <text>
        <r>
          <rPr>
            <b/>
            <sz val="9"/>
            <color indexed="81"/>
            <rFont val="Tahoma"/>
            <family val="2"/>
          </rPr>
          <t>Source: Mentor model. Elevated in FY26E due to new facility processing fees (₹10.17 Cr one-time) + ongoing LC charges (₹1.87 Cr). Normalizes to ₹2.79 Cr FY27E and ₹1.50 Cr steady-state.</t>
        </r>
      </text>
    </comment>
    <comment ref="F111" authorId="1" shapeId="0" xr:uid="{5B535D09-03BB-45AA-BC4A-FD85CD890D61}">
      <text>
        <r>
          <rPr>
            <b/>
            <sz val="9"/>
            <color indexed="81"/>
            <rFont val="Tahoma"/>
            <family val="2"/>
          </rPr>
          <t>Divyanshu Vatsa:</t>
        </r>
        <r>
          <rPr>
            <sz val="9"/>
            <color indexed="81"/>
            <rFont val="Tahoma"/>
            <family val="2"/>
          </rPr>
          <t xml:space="preserve">
FY27E reflects residual facility charges post-TL disbursement. Source: Mentor Engine.</t>
        </r>
      </text>
    </comment>
    <comment ref="G111" authorId="1" shapeId="0" xr:uid="{36F6B7BD-47E7-4999-9A7A-7690A4BF2905}">
      <text>
        <r>
          <rPr>
            <b/>
            <sz val="9"/>
            <color indexed="81"/>
            <rFont val="Tahoma"/>
            <family val="2"/>
          </rPr>
          <t>Divyanshu Vatsa:</t>
        </r>
        <r>
          <rPr>
            <sz val="9"/>
            <color indexed="81"/>
            <rFont val="Tahoma"/>
            <family val="2"/>
          </rPr>
          <t xml:space="preserve">
FY28E+ normalized bank charges. Steady-state processing, LC charges.</t>
        </r>
      </text>
    </comment>
    <comment ref="D113" authorId="1" shapeId="0" xr:uid="{F3D02FE3-12E0-4ED2-8C56-13B18A096CE8}">
      <text>
        <r>
          <rPr>
            <b/>
            <sz val="9"/>
            <color indexed="81"/>
            <rFont val="Tahoma"/>
            <family val="2"/>
          </rPr>
          <t>Divyanshu Vatsa:</t>
        </r>
        <r>
          <rPr>
            <sz val="9"/>
            <color indexed="81"/>
            <rFont val="Tahoma"/>
            <family val="2"/>
          </rPr>
          <t xml:space="preserve">
Annual step-down for Other LT Assets (DTA amortization + lease prepaid expiry). Blue font = editable assumption. Referenced by 3-Statement Projection Row 61.</t>
        </r>
      </text>
    </comment>
    <comment ref="D115" authorId="1" shapeId="0" xr:uid="{BCED4A1F-0953-4971-BFAD-7D538E846641}">
      <text>
        <r>
          <rPr>
            <b/>
            <sz val="9"/>
            <color indexed="81"/>
            <rFont val="Tahoma"/>
            <family val="2"/>
          </rPr>
          <t>Minimum annual base dividend (positive amount; cash outflow applied as negative in 3-Statement Projection D94:K94). Source: Mentor model fixed payout. Single-source assumption.</t>
        </r>
      </text>
    </comment>
    <comment ref="D116" authorId="1" shapeId="0" xr:uid="{86558C4E-BD17-45C6-9BF0-1B2F11C36007}">
      <text>
        <r>
          <rPr>
            <b/>
            <sz val="9"/>
            <color indexed="81"/>
            <rFont val="Tahoma"/>
            <family val="2"/>
          </rPr>
          <t>Divyanshu Vatsa:</t>
        </r>
        <r>
          <rPr>
            <sz val="9"/>
            <color indexed="81"/>
            <rFont val="Tahoma"/>
            <family val="2"/>
          </rPr>
          <t xml:space="preserve">
Variable dividend payout = 30% of PAT. Single-source assumption referenced across the 3-Statement Projection dividend row.</t>
        </r>
      </text>
    </comment>
    <comment ref="D117" authorId="1" shapeId="0" xr:uid="{655C7348-955C-4CA6-84F8-06B8A64B8E2D}">
      <text>
        <r>
          <rPr>
            <b/>
            <sz val="9"/>
            <color indexed="81"/>
            <rFont val="Tahoma"/>
            <family val="2"/>
          </rPr>
          <t>Divyanshu Vatsa:</t>
        </r>
        <r>
          <rPr>
            <sz val="9"/>
            <color indexed="81"/>
            <rFont val="Tahoma"/>
            <family val="2"/>
          </rPr>
          <t xml:space="preserve">
Single-source value for inter-company loan/security deposit. Referenced by 3-Statement Projection D60 &amp; E60 (LT Loans &amp; Advances FY26E/FY27E).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B20" authorId="0" shapeId="0" xr:uid="{00000000-0006-0000-0800-000001000000}">
      <text>
        <r>
          <rPr>
            <sz val="10"/>
            <rFont val="Arial"/>
            <family val="2"/>
          </rPr>
          <t>FY24A Other Income — linked to I&amp;E Summary K16 ('Other income' line, curated to exclude Dividends K15=₹10.56 Cr / financial-services income to maintain PAT consistency with reported HFS figure).</t>
        </r>
      </text>
    </comment>
    <comment ref="C20" authorId="0" shapeId="0" xr:uid="{00000000-0006-0000-0800-000004000000}">
      <text>
        <r>
          <rPr>
            <sz val="10"/>
            <rFont val="Arial"/>
            <family val="2"/>
          </rPr>
          <t>FY25A Other Income — linked to Historical FS row 32 (was hardcoded 18.70).</t>
        </r>
      </text>
    </comment>
    <comment ref="D20" authorId="0" shapeId="0" xr:uid="{00000000-0006-0000-0800-00001D000000}">
      <text>
        <r>
          <rPr>
            <sz val="10"/>
            <rFont val="Arial"/>
            <family val="2"/>
          </rPr>
          <t>Divyanshu Vatsa:
FY26E Other Income: ₹27.08 Cr — one-time Battery-2 commissioning gains (CDM credits, trial-run by-product sales). Blue = input.</t>
        </r>
      </text>
    </comment>
    <comment ref="E20" authorId="0" shapeId="0" xr:uid="{00000000-0006-0000-0800-000024000000}">
      <text>
        <r>
          <rPr>
            <sz val="10"/>
            <rFont val="Arial"/>
            <family val="2"/>
          </rPr>
          <t>Rectified: Interest income @ 4% on opening cash balance (FY26E closing). Previously ₹0 — unrealistic with ₹200+ Cr cash on BS.</t>
        </r>
      </text>
    </comment>
    <comment ref="F20" authorId="0" shapeId="0" xr:uid="{00000000-0006-0000-0800-000028000000}">
      <text>
        <r>
          <rPr>
            <sz val="10"/>
            <rFont val="Arial"/>
            <family val="2"/>
          </rPr>
          <t>Divyanshu Vatsa:
Other Income = 0 (conservative). See note on FY27E cell.</t>
        </r>
      </text>
    </comment>
    <comment ref="G20" authorId="0" shapeId="0" xr:uid="{00000000-0006-0000-0800-00002B000000}">
      <text>
        <r>
          <rPr>
            <sz val="10"/>
            <rFont val="Arial"/>
            <family val="2"/>
          </rPr>
          <t>Divyanshu Vatsa:
Other Income = 0 (conservative). See note on FY27E cell.</t>
        </r>
      </text>
    </comment>
    <comment ref="C35" authorId="0" shapeId="0" xr:uid="{00000000-0006-0000-0800-000005000000}">
      <text>
        <r>
          <rPr>
            <sz val="10"/>
            <rFont val="Arial"/>
            <family val="2"/>
          </rPr>
          <t>Divyanshu Vatsa:
= Prior Year Reserves + PAT (no dividends assumed)</t>
        </r>
      </text>
    </comment>
    <comment ref="E35" authorId="0" shapeId="0" xr:uid="{00000000-0006-0000-0800-000025000000}">
      <text>
        <r>
          <rPr>
            <sz val="10"/>
            <rFont val="Arial"/>
            <family val="2"/>
          </rPr>
          <t>Divyanshu Vatsa:
= Prior Reserves + PAT + Dividends Paid (negative). 30% payout begins FY27E.</t>
        </r>
      </text>
    </comment>
    <comment ref="B39" authorId="0" shapeId="0" xr:uid="{00000000-0006-0000-0800-000002000000}">
      <text>
        <r>
          <rPr>
            <sz val="10"/>
            <rFont val="Arial"/>
            <family val="2"/>
          </rPr>
          <t>FY24A LT Borrowings incl. current portion — linked to BS Summary K27 (₹305.25 + ₹18.76 = ₹324.01 Cr).</t>
        </r>
      </text>
    </comment>
    <comment ref="C40" authorId="0" shapeId="0" xr:uid="{00000000-0006-0000-0800-000006000000}">
      <text>
        <r>
          <rPr>
            <sz val="10"/>
            <rFont val="Arial"/>
            <family val="2"/>
          </rPr>
          <t>DTL grows at 3% p.a. to reflect expanding fixed asset base from capacity expansion.</t>
        </r>
      </text>
    </comment>
    <comment ref="C41" authorId="0" shapeId="0" xr:uid="{00000000-0006-0000-0800-000007000000}">
      <text>
        <r>
          <rPr>
            <sz val="10"/>
            <rFont val="Arial"/>
            <family val="2"/>
          </rPr>
          <t>LT Provisions scaled as % of Net Sales, anchored to FY24 ratio (2.27/1,572.8 = 0.14%).</t>
        </r>
      </text>
    </comment>
    <comment ref="C45" authorId="0" shapeId="0" xr:uid="{00000000-0006-0000-0800-000008000000}">
      <text>
        <r>
          <rPr>
            <sz val="10"/>
            <rFont val="Arial"/>
            <family val="2"/>
          </rPr>
          <t>FY25A actual short-term borrowings from Historical FS L67 = ₹109 Cr. Included in DCF net-debt bridge. Assumed to roll off in projection period (D45:G45 = 0) as company deleverages.</t>
        </r>
      </text>
    </comment>
    <comment ref="C46" authorId="0" shapeId="0" xr:uid="{00000000-0006-0000-0800-000009000000}">
      <text>
        <r>
          <rPr>
            <sz val="10"/>
            <rFont val="Arial"/>
            <family val="2"/>
          </rPr>
          <t>Revolver Facility: ₹30 Cr working capital facility drawn in FY26 and maintained flat. Hardcoded input (not dynamic). Drawdown captured in CFS row 93 via (D45+D46)-(C45+C46) change in ST borrowings.</t>
        </r>
      </text>
    </comment>
    <comment ref="D46" authorId="1" shapeId="0" xr:uid="{F20F26CB-47A5-4E1E-A715-40687FC51C8A}">
      <text>
        <r>
          <rPr>
            <b/>
            <sz val="9"/>
            <color indexed="81"/>
            <rFont val="Tahoma"/>
            <family val="2"/>
          </rPr>
          <t>Divyanshu Vatsa:</t>
        </r>
        <r>
          <rPr>
            <sz val="9"/>
            <color indexed="81"/>
            <rFont val="Tahoma"/>
            <family val="2"/>
          </rPr>
          <t xml:space="preserve">
Conditional revolver: Draw only if pre-revolver cash &lt; ₹50 Cr, capped at ₹30 Cr facility limit. Repays automatically when cash is sufficient.</t>
        </r>
      </text>
    </comment>
    <comment ref="B48" authorId="0" shapeId="0" xr:uid="{00000000-0006-0000-0800-000003000000}">
      <text>
        <r>
          <rPr>
            <sz val="10"/>
            <rFont val="Arial"/>
            <family val="2"/>
          </rPr>
          <t>FY24A Other CL — reclassified: Historical FS K69 (₹39.96 Cr) less current portion of LT debt (BS Summary K33 = ₹18.76 Cr) = ₹21.20 Cr. Reclassification moves current portion to LT Borrowings (B39).</t>
        </r>
      </text>
    </comment>
    <comment ref="C48" authorId="0" shapeId="0" xr:uid="{00000000-0006-0000-0800-00000A000000}">
      <text>
        <r>
          <rPr>
            <sz val="10"/>
            <rFont val="Arial"/>
            <family val="2"/>
          </rPr>
          <t>Divyanshu Vatsa:
Held flat at FY24 level — no specific driver available</t>
        </r>
      </text>
    </comment>
    <comment ref="D48" authorId="1" shapeId="0" xr:uid="{069D38BF-0CCE-4537-8E93-C6DBBCA1D1E5}">
      <text>
        <r>
          <rPr>
            <b/>
            <sz val="9"/>
            <color indexed="81"/>
            <rFont val="Tahoma"/>
            <family val="2"/>
          </rPr>
          <t>Divyanshu Vatsa:</t>
        </r>
        <r>
          <rPr>
            <sz val="9"/>
            <color indexed="81"/>
            <rFont val="Tahoma"/>
            <family val="2"/>
          </rPr>
          <t xml:space="preserve">
Held flat at FY25A level (₹89.47 Cr). Includes statutory liabilities, provisions, and other CL items. No reliable driver identified for projection.</t>
        </r>
      </text>
    </comment>
    <comment ref="E48" authorId="1" shapeId="0" xr:uid="{00C93217-AF53-459A-995E-71046B386270}">
      <text>
        <r>
          <rPr>
            <b/>
            <sz val="9"/>
            <color indexed="81"/>
            <rFont val="Tahoma"/>
            <family val="2"/>
          </rPr>
          <t>Divyanshu Vatsa:</t>
        </r>
        <r>
          <rPr>
            <sz val="9"/>
            <color indexed="81"/>
            <rFont val="Tahoma"/>
            <family val="2"/>
          </rPr>
          <t xml:space="preserve">
Held flat at FY25A actual (₹89.47 Cr). No reliable driver identified — statutory liabilities, provisions, and accruals are not revenue-linked. Revisit if management provides guidance on expected changes.</t>
        </r>
      </text>
    </comment>
    <comment ref="C57" authorId="0" shapeId="0" xr:uid="{00000000-0006-0000-0800-00000B000000}">
      <text>
        <r>
          <rPr>
            <sz val="10"/>
            <rFont val="Arial"/>
            <family val="2"/>
          </rPr>
          <t>= Opening Gross Block + Total Capex - Depreciation</t>
        </r>
      </text>
    </comment>
    <comment ref="D57" authorId="0" shapeId="0" xr:uid="{00000000-0006-0000-0800-00001E000000}">
      <text>
        <r>
          <rPr>
            <sz val="10"/>
            <rFont val="Arial"/>
            <family val="2"/>
          </rPr>
          <t>Divyanshu Vatsa:
= Prior Year NFA + Capex - Depreciation</t>
        </r>
      </text>
    </comment>
    <comment ref="C58" authorId="0" shapeId="0" xr:uid="{00000000-0006-0000-0800-00000C000000}">
      <text>
        <r>
          <rPr>
            <sz val="10"/>
            <rFont val="Arial"/>
            <family val="2"/>
          </rPr>
          <t>Divyanshu Vatsa:
Battery-2 CWIP fully capitalized into Opening Gross Block FY25. No new expansion capex.</t>
        </r>
      </text>
    </comment>
    <comment ref="C59" authorId="0" shapeId="0" xr:uid="{00000000-0006-0000-0800-00000D000000}">
      <text>
        <r>
          <rPr>
            <sz val="10"/>
            <rFont val="Arial"/>
            <family val="2"/>
          </rPr>
          <t>Divyanshu Vatsa:
Held flat at FY24 level</t>
        </r>
      </text>
    </comment>
    <comment ref="C60" authorId="0" shapeId="0" xr:uid="{00000000-0006-0000-0800-00000E000000}">
      <text>
        <r>
          <rPr>
            <sz val="10"/>
            <rFont val="Arial"/>
            <family val="2"/>
          </rPr>
          <t>Divyanshu Vatsa:
Held flat at FY24 level</t>
        </r>
      </text>
    </comment>
    <comment ref="D60" authorId="0" shapeId="0" xr:uid="{00000000-0006-0000-0800-00001F000000}">
      <text>
        <r>
          <rPr>
            <sz val="10"/>
            <rFont val="Arial"/>
            <family val="2"/>
          </rPr>
          <t>FY26E LT Loans &amp; Advances — linked to Assumptions $D$117 (inter-company loan single-source cell).</t>
        </r>
      </text>
    </comment>
    <comment ref="E60" authorId="0" shapeId="0" xr:uid="{00000000-0006-0000-0800-000026000000}">
      <text>
        <r>
          <rPr>
            <sz val="10"/>
            <rFont val="Arial"/>
            <family val="2"/>
          </rPr>
          <t>FY27E LT Loans &amp; Advances — linked to Assumptions $D$117 (inter-company loan single-source cell). Recovered fully in FY28E.</t>
        </r>
      </text>
    </comment>
    <comment ref="F60" authorId="0" shapeId="0" xr:uid="{00000000-0006-0000-0800-000029000000}">
      <text>
        <r>
          <rPr>
            <sz val="10"/>
            <rFont val="Arial"/>
            <family val="2"/>
          </rPr>
          <t>Full recovery assumed by FY28E as Battery-2 commissioning completes and inter-company settlements normalize.</t>
        </r>
      </text>
    </comment>
    <comment ref="G60" authorId="0" shapeId="0" xr:uid="{00000000-0006-0000-0800-00002C000000}">
      <text>
        <r>
          <rPr>
            <sz val="10"/>
            <rFont val="Arial"/>
            <family val="2"/>
          </rPr>
          <t>Divyanshu Vatsa:
FY29E: LT Loans = 0 (fully recovered in FY28).</t>
        </r>
      </text>
    </comment>
    <comment ref="C61" authorId="0" shapeId="0" xr:uid="{00000000-0006-0000-0800-00000F000000}">
      <text>
        <r>
          <rPr>
            <sz val="10"/>
            <rFont val="Arial"/>
            <family val="2"/>
          </rPr>
          <t>Divyanshu Vatsa:
Held flat at FY24 level</t>
        </r>
      </text>
    </comment>
    <comment ref="D61" authorId="0" shapeId="0" xr:uid="{00000000-0006-0000-0800-000020000000}">
      <text>
        <r>
          <rPr>
            <sz val="10"/>
            <rFont val="Arial"/>
            <family val="2"/>
          </rPr>
          <t>Rectified: Security deposit &amp; prepaid expenses step-down ₹25 Cr/year. V1 model (Nov 2025) correctly identified these assets expire as building lease matures. Was held flat at ₹146.98 Cr — overstated non-current assets.</t>
        </r>
      </text>
    </comment>
    <comment ref="F61" authorId="0" shapeId="0" xr:uid="{BA3B41B6-7555-4C13-8A2C-E148C832EC92}">
      <text>
        <r>
          <rPr>
            <sz val="10"/>
            <rFont val="Arial"/>
            <family val="2"/>
          </rPr>
          <t>Rectified: Security deposit &amp; prepaid expenses step-down ₹25 Cr/year. V1 model (Nov 2025) correctly identified these assets expire as building lease matures. Was held flat at ₹146.98 Cr — overstated non-current assets.</t>
        </r>
      </text>
    </comment>
    <comment ref="H61" authorId="0" shapeId="0" xr:uid="{75349F9F-5668-43AE-A0C8-CE6916CDF9F9}">
      <text>
        <r>
          <rPr>
            <sz val="10"/>
            <rFont val="Arial"/>
            <family val="2"/>
          </rPr>
          <t>Rectified: Security deposit &amp; prepaid expenses step-down ₹25 Cr/year. V1 model (Nov 2025) correctly identified these assets expire as building lease matures. Was held flat at ₹146.98 Cr — overstated non-current assets.</t>
        </r>
      </text>
    </comment>
    <comment ref="J61" authorId="0" shapeId="0" xr:uid="{8891C218-A84E-4F11-B604-03F4637FBFC1}">
      <text>
        <r>
          <rPr>
            <sz val="10"/>
            <rFont val="Arial"/>
            <family val="2"/>
          </rPr>
          <t>Rectified: Security deposit &amp; prepaid expenses step-down ₹25 Cr/year. V1 model (Nov 2025) correctly identified these assets expire as building lease matures. Was held flat at ₹146.98 Cr — overstated non-current assets.</t>
        </r>
      </text>
    </comment>
    <comment ref="C67" authorId="0" shapeId="0" xr:uid="{00000000-0006-0000-0800-000010000000}">
      <text>
        <r>
          <rPr>
            <sz val="10"/>
            <rFont val="Arial"/>
            <family val="2"/>
          </rPr>
          <t>Divyanshu Vatsa:
CASH PLUG: Closing Cash from CFS flows to BS. This is the balancing item.</t>
        </r>
      </text>
    </comment>
    <comment ref="C68" authorId="0" shapeId="0" xr:uid="{00000000-0006-0000-0800-000011000000}">
      <text>
        <r>
          <rPr>
            <sz val="10"/>
            <rFont val="Arial"/>
            <family val="2"/>
          </rPr>
          <t>Divyanshu Vatsa:
Held flat at FY24 level</t>
        </r>
      </text>
    </comment>
    <comment ref="D68" authorId="0" shapeId="0" xr:uid="{00000000-0006-0000-0800-000021000000}">
      <text>
        <r>
          <rPr>
            <sz val="10"/>
            <rFont val="Arial"/>
            <family val="2"/>
          </rPr>
          <t>Rectified: Was -₹0.01 Cr (negative current asset). Set to ₹0.</t>
        </r>
      </text>
    </comment>
    <comment ref="C69" authorId="0" shapeId="0" xr:uid="{00000000-0006-0000-0800-000012000000}">
      <text>
        <r>
          <rPr>
            <sz val="10"/>
            <rFont val="Arial"/>
            <family val="2"/>
          </rPr>
          <t>Divyanshu Vatsa:
Held flat at FY24 level</t>
        </r>
      </text>
    </comment>
    <comment ref="E69" authorId="1" shapeId="0" xr:uid="{A4D92C9D-D52E-4F2E-BE1B-8C25AC291765}">
      <text>
        <r>
          <rPr>
            <b/>
            <sz val="9"/>
            <color indexed="81"/>
            <rFont val="Tahoma"/>
            <family val="2"/>
          </rPr>
          <t>Divyanshu Vatsa:</t>
        </r>
        <r>
          <rPr>
            <sz val="9"/>
            <color indexed="81"/>
            <rFont val="Tahoma"/>
            <family val="2"/>
          </rPr>
          <t xml:space="preserve">
Held flat at FY25A actual (₹90.16 Cr). Represents short-term mutual fund investments + advance tax + prepaid expenses. No reliable projection driver — held constant per standard practice for non-operating current assets. Blue font items are editable.</t>
        </r>
      </text>
    </comment>
    <comment ref="C81" authorId="0" shapeId="0" xr:uid="{00000000-0006-0000-0800-000013000000}">
      <text>
        <r>
          <rPr>
            <sz val="10"/>
            <rFont val="Arial"/>
            <family val="2"/>
          </rPr>
          <t>Divyanshu Vatsa:
Prior Year - Current Year (increase in assets = cash outflow)</t>
        </r>
      </text>
    </comment>
    <comment ref="C83" authorId="0" shapeId="0" xr:uid="{00000000-0006-0000-0800-000014000000}">
      <text>
        <r>
          <rPr>
            <sz val="10"/>
            <rFont val="Arial"/>
            <family val="2"/>
          </rPr>
          <t>Divyanshu Vatsa:
Current Year - Prior Year (increase in liabilities = cash inflow)</t>
        </r>
      </text>
    </comment>
    <comment ref="C84" authorId="0" shapeId="0" xr:uid="{00000000-0006-0000-0800-000015000000}">
      <text>
        <r>
          <rPr>
            <sz val="10"/>
            <rFont val="Arial"/>
            <family val="2"/>
          </rPr>
          <t>Divyanshu Vatsa:
Change in Deferred Tax Liability + LT Provisions. Increase in liabilities = cash inflow (positive).</t>
        </r>
      </text>
    </comment>
    <comment ref="C88" authorId="0" shapeId="0" xr:uid="{00000000-0006-0000-0800-000016000000}">
      <text>
        <r>
          <rPr>
            <sz val="10"/>
            <rFont val="Arial"/>
            <family val="2"/>
          </rPr>
          <t>Divyanshu Vatsa:
Negative sign: capex is a cash outflow</t>
        </r>
      </text>
    </comment>
    <comment ref="D89" authorId="0" shapeId="0" xr:uid="{00000000-0006-0000-0800-000022000000}">
      <text>
        <r>
          <rPr>
            <sz val="10"/>
            <rFont val="Arial"/>
            <family val="2"/>
          </rPr>
          <t>Rectified: CFI now includes Δ LT Investments (row 59) + Δ LT Loans (row 60) + Δ Other LT Assets (row 61). Previously only captured Δ LT Loans — caused BS imbalance when Other LT Assets changed.</t>
        </r>
      </text>
    </comment>
    <comment ref="C92" authorId="0" shapeId="0" xr:uid="{00000000-0006-0000-0800-000017000000}">
      <text>
        <r>
          <rPr>
            <sz val="10"/>
            <rFont val="Arial"/>
            <family val="2"/>
          </rPr>
          <t>Divyanshu Vatsa:
Negative sign: debt repayment is a cash outflow</t>
        </r>
      </text>
    </comment>
    <comment ref="C93" authorId="0" shapeId="0" xr:uid="{00000000-0006-0000-0800-000018000000}">
      <text>
        <r>
          <rPr>
            <sz val="10"/>
            <rFont val="Arial"/>
            <family val="2"/>
          </rPr>
          <t>Divyanshu Vatsa:
Current Year ST Borrowings - Prior Year</t>
        </r>
      </text>
    </comment>
    <comment ref="C94" authorId="0" shapeId="0" xr:uid="{00000000-0006-0000-0800-000019000000}">
      <text>
        <r>
          <rPr>
            <sz val="10"/>
            <rFont val="Arial"/>
            <family val="2"/>
          </rPr>
          <t>Divyanshu Vatsa:
No dividends assumed — deleveraging phase</t>
        </r>
      </text>
    </comment>
    <comment ref="D94" authorId="0" shapeId="0" xr:uid="{00000000-0006-0000-0800-000023000000}">
      <text>
        <r>
          <rPr>
            <sz val="10"/>
            <rFont val="Arial"/>
            <family val="2"/>
          </rPr>
          <t>FY26E dividend (cash outflow) = -(scenario-driven buyback from SE!B59:D59) - (Min Floor Assumptions $D$115) - (Variable Payout Assumptions $D$116) × PAT.</t>
        </r>
      </text>
    </comment>
    <comment ref="E94" authorId="0" shapeId="0" xr:uid="{00000000-0006-0000-0800-000027000000}">
      <text>
        <r>
          <rPr>
            <sz val="10"/>
            <rFont val="Arial"/>
            <family val="2"/>
          </rPr>
          <t>FY27E onwards dividend (cash outflow) = -(Min Floor $D$115) - (Payout $D$116) × PAT.</t>
        </r>
      </text>
    </comment>
    <comment ref="F94" authorId="0" shapeId="0" xr:uid="{00000000-0006-0000-0800-00002A000000}">
      <text>
        <r>
          <rPr>
            <sz val="10"/>
            <rFont val="Arial"/>
            <family val="2"/>
          </rPr>
          <t>Divyanshu Vatsa:
30% payout ratio — funded by operating cash flows.</t>
        </r>
      </text>
    </comment>
    <comment ref="G94" authorId="0" shapeId="0" xr:uid="{00000000-0006-0000-0800-00002D000000}">
      <text>
        <r>
          <rPr>
            <sz val="10"/>
            <rFont val="Arial"/>
            <family val="2"/>
          </rPr>
          <t>Divyanshu Vatsa:
30% payout ratio — terminal-year dividend policy.</t>
        </r>
      </text>
    </comment>
    <comment ref="C99" authorId="0" shapeId="0" xr:uid="{00000000-0006-0000-0800-00001A000000}">
      <text>
        <r>
          <rPr>
            <sz val="10"/>
            <rFont val="Arial"/>
            <family val="2"/>
          </rPr>
          <t>Divyanshu Vatsa:
= FY24 Cash &amp; Bank Balance from BS</t>
        </r>
      </text>
    </comment>
    <comment ref="C100" authorId="0" shapeId="0" xr:uid="{00000000-0006-0000-0800-00001B000000}">
      <text>
        <r>
          <rPr>
            <sz val="10"/>
            <rFont val="Arial"/>
            <family val="2"/>
          </rPr>
          <t>Divyanshu Vatsa:
= Opening Cash + CFO + CFI + CFF (excl. Revolver). If negative, Revolver draws to cover.</t>
        </r>
      </text>
    </comment>
    <comment ref="C101" authorId="0" shapeId="0" xr:uid="{00000000-0006-0000-0800-00001C000000}">
      <text>
        <r>
          <rPr>
            <sz val="10"/>
            <rFont val="Arial"/>
            <family val="2"/>
          </rPr>
          <t>Positive = new drawdown when cash is negative. Negative = repayment of prior balance from excess cash.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B7" authorId="0" shapeId="0" xr:uid="{00000000-0006-0000-0900-000001000000}">
      <text>
        <r>
          <rPr>
            <sz val="10"/>
            <rFont val="Arial"/>
            <family val="2"/>
          </rPr>
          <t>Risk-free rate — wired to Scenario Engine row 83 (Section 10). Active scenario controlled by 'Scenario Engine'!B3.</t>
        </r>
      </text>
    </comment>
    <comment ref="B8" authorId="0" shapeId="0" xr:uid="{00000000-0006-0000-0900-000002000000}">
      <text>
        <r>
          <rPr>
            <sz val="10"/>
            <rFont val="Arial"/>
            <family val="2"/>
          </rPr>
          <t>Equity Risk Premium — wired to Scenario Engine row 84 (Section 10).</t>
        </r>
      </text>
    </comment>
    <comment ref="B9" authorId="0" shapeId="0" xr:uid="{00000000-0006-0000-0900-000003000000}">
      <text>
        <r>
          <rPr>
            <sz val="10"/>
            <rFont val="Arial"/>
            <family val="2"/>
          </rPr>
          <t>Divyanshu Vatsa:
Industry basket: weighted towards Sandur Manganese &amp; Jindal Stainless. Scenario-linked via Scenario Engine.</t>
        </r>
      </text>
    </comment>
    <comment ref="B10" authorId="0" shapeId="0" xr:uid="{00000000-0006-0000-0900-000004000000}">
      <text>
        <r>
          <rPr>
            <sz val="10"/>
            <rFont val="Arial"/>
            <family val="2"/>
          </rPr>
          <t>Divyanshu Vatsa:
Section 115BAA: 22% + 10% surcharge + 4% H&amp;E cess = 25.17%</t>
        </r>
      </text>
    </comment>
    <comment ref="B11" authorId="1" shapeId="0" xr:uid="{85035700-086A-4865-9811-85B7B7DED9BF}">
      <text>
        <r>
          <rPr>
            <b/>
            <sz val="9"/>
            <color indexed="81"/>
            <rFont val="Tahoma"/>
            <family val="2"/>
          </rPr>
          <t>Divyanshu Vatsa:</t>
        </r>
        <r>
          <rPr>
            <sz val="9"/>
            <color indexed="81"/>
            <rFont val="Tahoma"/>
            <family val="2"/>
          </rPr>
          <t xml:space="preserve">
MAT @ 15% + 10% surcharge + 4% H&amp;E cess = 17.472%. Used for FCFF taxes in explicit forecast period (FY25A-FY29E). Terminal year uses CIT rate (25.17%).</t>
        </r>
      </text>
    </comment>
    <comment ref="B13" authorId="0" shapeId="0" xr:uid="{00000000-0006-0000-0900-000005000000}">
      <text>
        <r>
          <rPr>
            <sz val="10"/>
            <rFont val="Arial"/>
            <family val="2"/>
          </rPr>
          <t>Divyanshu Vatsa:
FY25E Total Equity from projected Balance Sheet</t>
        </r>
      </text>
    </comment>
    <comment ref="B14" authorId="0" shapeId="0" xr:uid="{00000000-0006-0000-0900-000006000000}">
      <text>
        <r>
          <rPr>
            <sz val="10"/>
            <rFont val="Arial"/>
            <family val="2"/>
          </rPr>
          <t>Divyanshu Vatsa:
FY25E LT Borrowings + ST Borrowings</t>
        </r>
      </text>
    </comment>
    <comment ref="B15" authorId="0" shapeId="0" xr:uid="{00000000-0006-0000-0900-000007000000}">
      <text>
        <r>
          <rPr>
            <sz val="10"/>
            <rFont val="Arial"/>
            <family val="2"/>
          </rPr>
          <t>Preference Capital outstanding — wired to Scenario Engine row 85 (Section 10).</t>
        </r>
      </text>
    </comment>
    <comment ref="B17" authorId="0" shapeId="0" xr:uid="{00000000-0006-0000-0900-000008000000}">
      <text>
        <r>
          <rPr>
            <sz val="10"/>
            <rFont val="Arial"/>
            <family val="2"/>
          </rPr>
          <t>Target Debt-to-Equity — wired to Scenario Engine row 87 (Section 10).</t>
        </r>
      </text>
    </comment>
    <comment ref="B20" authorId="0" shapeId="0" xr:uid="{00000000-0006-0000-0900-000009000000}">
      <text>
        <r>
          <rPr>
            <sz val="10"/>
            <rFont val="Arial"/>
            <family val="2"/>
          </rPr>
          <t>Divyanshu Vatsa:
Hamada equation: βL = βu × [1 + (1 − Tax) × D/E]</t>
        </r>
      </text>
    </comment>
    <comment ref="B21" authorId="0" shapeId="0" xr:uid="{00000000-0006-0000-0900-00000A000000}">
      <text>
        <r>
          <rPr>
            <sz val="10"/>
            <rFont val="Arial"/>
            <family val="2"/>
          </rPr>
          <t>Divyanshu Vatsa:
CAPM: Ke = Rf + (βL × ERP)</t>
        </r>
      </text>
    </comment>
    <comment ref="B24" authorId="0" shapeId="0" xr:uid="{00000000-0006-0000-0900-00000B000000}">
      <text>
        <r>
          <rPr>
            <sz val="10"/>
            <rFont val="Arial"/>
            <family val="2"/>
          </rPr>
          <t>Divyanshu Vatsa:
Blended average cost of debt for CARE A+ rated entity. Scenario-linked via Scenario Engine.</t>
        </r>
      </text>
    </comment>
    <comment ref="B25" authorId="0" shapeId="0" xr:uid="{00000000-0006-0000-0900-00000C000000}">
      <text>
        <r>
          <rPr>
            <sz val="10"/>
            <rFont val="Arial"/>
            <family val="2"/>
          </rPr>
          <t>Divyanshu Vatsa:
= Pre-tax Cost × (1 − Tax Rate)</t>
        </r>
      </text>
    </comment>
    <comment ref="B26" authorId="0" shapeId="0" xr:uid="{00000000-0006-0000-0900-00000D000000}">
      <text>
        <r>
          <rPr>
            <sz val="10"/>
            <rFont val="Arial"/>
            <family val="2"/>
          </rPr>
          <t>Cost of Preference Capital — wired to Scenario Engine row 86 (Section 10).</t>
        </r>
      </text>
    </comment>
    <comment ref="B29" authorId="0" shapeId="0" xr:uid="{00000000-0006-0000-0900-00000E000000}">
      <text>
        <r>
          <rPr>
            <sz val="10"/>
            <rFont val="Arial"/>
            <family val="2"/>
          </rPr>
          <t>Divyanshu Vatsa:
We = 1 / (1 + Target D/E). Derived from target capital structure, not fluctuating book values.</t>
        </r>
      </text>
    </comment>
    <comment ref="B30" authorId="0" shapeId="0" xr:uid="{00000000-0006-0000-0900-00000F000000}">
      <text>
        <r>
          <rPr>
            <sz val="10"/>
            <rFont val="Arial"/>
            <family val="2"/>
          </rPr>
          <t>Divyanshu Vatsa:
Wd = [D/E / (1 + D/E)] × [Debt share of (Debt + Pref)]. Total quasi-debt weight split proportionally between debt and preference capital.</t>
        </r>
      </text>
    </comment>
    <comment ref="B31" authorId="0" shapeId="0" xr:uid="{00000000-0006-0000-0900-000010000000}">
      <text>
        <r>
          <rPr>
            <sz val="10"/>
            <rFont val="Arial"/>
            <family val="2"/>
          </rPr>
          <t>Divyanshu Vatsa:
Wp = [D/E / (1 + D/E)] × [Pref share of (Debt + Pref)]. Preference capital treated as quasi-debt in the target structure.</t>
        </r>
      </text>
    </comment>
    <comment ref="B32" authorId="0" shapeId="0" xr:uid="{00000000-0006-0000-0900-000011000000}">
      <text>
        <r>
          <rPr>
            <sz val="10"/>
            <rFont val="Arial"/>
            <family val="2"/>
          </rPr>
          <t>Divyanshu Vatsa:
WACC = (We × Ke) + (Wd × Kd) + (Wp × Kp)</t>
        </r>
      </text>
    </comment>
    <comment ref="B43" authorId="0" shapeId="0" xr:uid="{00000000-0006-0000-0900-000012000000}">
      <text>
        <r>
          <rPr>
            <sz val="10"/>
            <rFont val="Arial"/>
            <family val="2"/>
          </rPr>
          <t>Divyanshu Vatsa:
NWC = Inventories + Trade Receivables − Trade Payables (FY24A from BS)</t>
        </r>
      </text>
    </comment>
    <comment ref="C44" authorId="0" shapeId="0" xr:uid="{00000000-0006-0000-0900-000028000000}">
      <text>
        <r>
          <rPr>
            <sz val="10"/>
            <rFont val="Arial"/>
            <family val="2"/>
          </rPr>
          <t>Divyanshu Vatsa:
= Current Year NWC − Prior Year NWC. Positive = cash outflow.</t>
        </r>
      </text>
    </comment>
    <comment ref="C46" authorId="0" shapeId="0" xr:uid="{00000000-0006-0000-0900-000029000000}">
      <text>
        <r>
          <rPr>
            <sz val="10"/>
            <rFont val="Arial"/>
            <family val="2"/>
          </rPr>
          <t>FY25A FCFF shown for REFERENCE ONLY — t=0 actual. NOT included in Enterprise Value sum at B51 (=SUM(D50:G50), FY26–FY29 only). Negative result driven by large positive ΔNWC (inventory + receivables build-up).</t>
        </r>
      </text>
    </comment>
    <comment ref="C50" authorId="0" shapeId="0" xr:uid="{00000000-0006-0000-0900-00002A000000}">
      <text>
        <r>
          <rPr>
            <sz val="10"/>
            <rFont val="Arial"/>
            <family val="2"/>
          </rPr>
          <t>Divyanshu Vatsa:
FY25A PV = FCFF / (1+WACC)^0 = FCFF. Shown for reference — not summed into EV.</t>
        </r>
      </text>
    </comment>
    <comment ref="B56" authorId="0" shapeId="0" xr:uid="{00000000-0006-0000-0900-000013000000}">
      <text>
        <r>
          <rPr>
            <sz val="10"/>
            <rFont val="Arial"/>
            <family val="2"/>
          </rPr>
          <t>Base case: 3.0% perpetual growth for cyclical steel-linked sector. Scenario-linked via Scenario Engine (Bull=3.5%, Base=3.0%, Bear=2.5%).</t>
        </r>
      </text>
    </comment>
    <comment ref="B58" authorId="1" shapeId="0" xr:uid="{6A04273A-9515-4D9D-ADFB-72651E9D1106}">
      <text>
        <r>
          <rPr>
            <b/>
            <sz val="9"/>
            <color indexed="81"/>
            <rFont val="Tahoma"/>
            <family val="2"/>
          </rPr>
          <t>Divyanshu Vatsa:</t>
        </r>
        <r>
          <rPr>
            <sz val="9"/>
            <color indexed="81"/>
            <rFont val="Tahoma"/>
            <family val="2"/>
          </rPr>
          <t xml:space="preserve">
Terminal FCFF using CIT rate (25.17%) instead of MAT. In perpetuity, timing differences net to zero, so statutory rate applies.</t>
        </r>
      </text>
    </comment>
    <comment ref="B59" authorId="0" shapeId="0" xr:uid="{00000000-0006-0000-0900-000014000000}">
      <text>
        <r>
          <rPr>
            <sz val="10"/>
            <rFont val="Arial"/>
            <family val="2"/>
          </rPr>
          <t>TV = [Terminal FCFF (CIT-taxed) × (1 + g)] / (WACC − g). Uses CIT rate for terminal year because timing differences net to zero in perpetuity.</t>
        </r>
      </text>
    </comment>
    <comment ref="B60" authorId="0" shapeId="0" xr:uid="{00000000-0006-0000-0900-000015000000}">
      <text>
        <r>
          <rPr>
            <sz val="10"/>
            <rFont val="Arial"/>
            <family val="2"/>
          </rPr>
          <t>PV of Terminal Value = TV / (1+WACC)^8. FY33E is 8 years from valuation date (FY25A = t=0). Uses Gordon Growth perpetuity model.</t>
        </r>
      </text>
    </comment>
    <comment ref="B65" authorId="0" shapeId="0" xr:uid="{00000000-0006-0000-0900-000016000000}">
      <text>
        <r>
          <rPr>
            <sz val="10"/>
            <rFont val="Arial"/>
            <family val="2"/>
          </rPr>
          <t>Divyanshu Vatsa:
EV = Sum(PV of FCFF) + PV of Terminal Value</t>
        </r>
      </text>
    </comment>
    <comment ref="B67" authorId="0" shapeId="0" xr:uid="{00000000-0006-0000-0900-000017000000}">
      <text>
        <r>
          <rPr>
            <sz val="10"/>
            <rFont val="Arial"/>
            <family val="2"/>
          </rPr>
          <t>Divyanshu Vatsa:
Sanity check: TV should be ~60-80% of EV for a mature business</t>
        </r>
      </text>
    </comment>
    <comment ref="B72" authorId="0" shapeId="0" xr:uid="{00000000-0006-0000-0900-000018000000}">
      <text>
        <r>
          <rPr>
            <sz val="10"/>
            <rFont val="Arial"/>
            <family val="2"/>
          </rPr>
          <t>Uses FY25A ending cash (valuation date = April 1, 2025). For a rolling valuation, consider updating to projected closing cash.</t>
        </r>
      </text>
    </comment>
    <comment ref="B73" authorId="0" shapeId="0" xr:uid="{00000000-0006-0000-0900-000019000000}">
      <text>
        <r>
          <rPr>
            <sz val="10"/>
            <rFont val="Arial"/>
            <family val="2"/>
          </rPr>
          <t>= LT Borrowings (incl. current portion) + ST Borrowings + Finance Lease = ₹436.82 + ₹109.00 + ₹0.00 = ₹545.82 Cr (FY25A close per Balance Sheet Summary).</t>
        </r>
      </text>
    </comment>
    <comment ref="B74" authorId="0" shapeId="0" xr:uid="{00000000-0006-0000-0900-00001A000000}">
      <text>
        <r>
          <rPr>
            <sz val="10"/>
            <rFont val="Arial"/>
            <family val="2"/>
          </rPr>
          <t>Divyanshu Vatsa:
₹109.26 Cr Preference Capital — treated as quasi-debt, subtracted from EV to arrive at common equity value</t>
        </r>
      </text>
    </comment>
    <comment ref="B76" authorId="0" shapeId="0" xr:uid="{00000000-0006-0000-0900-00001B000000}">
      <text>
        <r>
          <rPr>
            <sz val="10"/>
            <rFont val="Arial"/>
            <family val="2"/>
          </rPr>
          <t>Divyanshu Vatsa:
= EV + Cash − Total Debt − Preference Capital</t>
        </r>
      </text>
    </comment>
    <comment ref="B80" authorId="0" shapeId="0" xr:uid="{00000000-0006-0000-0900-00001C000000}">
      <text>
        <r>
          <rPr>
            <sz val="10"/>
            <rFont val="Arial"/>
            <family val="2"/>
          </rPr>
          <t>Equity shares outstanding — wired to Scenario Engine row 88 (Section 10). 3.243 Cr shares = ₹32.43 Cr paid-up ÷ ₹10 face value.</t>
        </r>
      </text>
    </comment>
    <comment ref="B81" authorId="0" shapeId="0" xr:uid="{00000000-0006-0000-0900-00001D000000}">
      <text>
        <r>
          <rPr>
            <sz val="10"/>
            <rFont val="Arial"/>
            <family val="2"/>
          </rPr>
          <t>= Equity Value (₹ Cr) / Shares Outstanding (Cr) = ₹ per share</t>
        </r>
      </text>
    </comment>
    <comment ref="B85" authorId="0" shapeId="0" xr:uid="{00000000-0006-0000-0900-00001E000000}">
      <text>
        <r>
          <rPr>
            <sz val="10"/>
            <rFont val="Arial"/>
            <family val="2"/>
          </rPr>
          <t>DCF per share = [PV(FY26-FY29 FCFF) + PV(Terminal Value) + Cash − Debt − Pref] / Shares. FY25A excluded per main DCF convention.</t>
        </r>
      </text>
    </comment>
    <comment ref="C85" authorId="0" shapeId="0" xr:uid="{00000000-0006-0000-0900-00002B000000}">
      <text>
        <r>
          <rPr>
            <sz val="10"/>
            <rFont val="Arial"/>
            <family val="2"/>
          </rPr>
          <t>DCF per share = [PV(FY26-FY29 FCFF) + PV(Terminal Value) + Cash − Debt − Pref] / Shares. FY25A excluded per main DCF convention.</t>
        </r>
      </text>
    </comment>
    <comment ref="D85" authorId="0" shapeId="0" xr:uid="{00000000-0006-0000-0900-000032000000}">
      <text>
        <r>
          <rPr>
            <sz val="10"/>
            <rFont val="Arial"/>
            <family val="2"/>
          </rPr>
          <t>DCF per share = [PV(FY26-FY29 FCFF) + PV(Terminal Value) + Cash − Debt − Pref] / Shares. FY25A excluded per main DCF convention.</t>
        </r>
      </text>
    </comment>
    <comment ref="E85" authorId="0" shapeId="0" xr:uid="{00000000-0006-0000-0900-000039000000}">
      <text>
        <r>
          <rPr>
            <sz val="10"/>
            <rFont val="Arial"/>
            <family val="2"/>
          </rPr>
          <t>DCF per share = [PV(FY26-FY29 FCFF) + PV(Terminal Value) + Cash − Debt − Pref] / Shares. FY25A excluded per main DCF convention.</t>
        </r>
      </text>
    </comment>
    <comment ref="F85" authorId="0" shapeId="0" xr:uid="{00000000-0006-0000-0900-000040000000}">
      <text>
        <r>
          <rPr>
            <sz val="10"/>
            <rFont val="Arial"/>
            <family val="2"/>
          </rPr>
          <t>DCF per share = [PV(FY26-FY29 FCFF) + PV(Terminal Value) + Cash − Debt − Pref] / Shares. FY25A excluded per main DCF convention.</t>
        </r>
      </text>
    </comment>
    <comment ref="G85" authorId="0" shapeId="0" xr:uid="{00000000-0006-0000-0900-000047000000}">
      <text>
        <r>
          <rPr>
            <sz val="10"/>
            <rFont val="Arial"/>
            <family val="2"/>
          </rPr>
          <t>DCF per share = [PV(FY26-FY29 FCFF) + PV(Terminal Value) + Cash − Debt − Pref] / Shares. FY25A excluded per main DCF convention.</t>
        </r>
      </text>
    </comment>
    <comment ref="H85" authorId="0" shapeId="0" xr:uid="{00000000-0006-0000-0900-00004E000000}">
      <text>
        <r>
          <rPr>
            <sz val="10"/>
            <rFont val="Arial"/>
            <family val="2"/>
          </rPr>
          <t>DCF per share = [PV(FY26-FY29 FCFF) + PV(Terminal Value) + Cash − Debt − Pref] / Shares. FY25A excluded per main DCF convention.</t>
        </r>
      </text>
    </comment>
    <comment ref="B86" authorId="0" shapeId="0" xr:uid="{00000000-0006-0000-0900-00001F000000}">
      <text>
        <r>
          <rPr>
            <sz val="10"/>
            <rFont val="Arial"/>
            <family val="2"/>
          </rPr>
          <t>DCF per share = [PV(FY26-FY29 FCFF) + PV(Terminal Value) + Cash − Debt − Pref] / Shares. FY25A excluded per main DCF convention.</t>
        </r>
      </text>
    </comment>
    <comment ref="C86" authorId="0" shapeId="0" xr:uid="{00000000-0006-0000-0900-00002C000000}">
      <text>
        <r>
          <rPr>
            <sz val="10"/>
            <rFont val="Arial"/>
            <family val="2"/>
          </rPr>
          <t>DCF per share = [PV(FY26-FY29 FCFF) + PV(Terminal Value) + Cash − Debt − Pref] / Shares. FY25A excluded per main DCF convention.</t>
        </r>
      </text>
    </comment>
    <comment ref="D86" authorId="0" shapeId="0" xr:uid="{00000000-0006-0000-0900-000033000000}">
      <text>
        <r>
          <rPr>
            <sz val="10"/>
            <rFont val="Arial"/>
            <family val="2"/>
          </rPr>
          <t>DCF per share = [PV(FY26-FY29 FCFF) + PV(Terminal Value) + Cash − Debt − Pref] / Shares. FY25A excluded per main DCF convention.</t>
        </r>
      </text>
    </comment>
    <comment ref="E86" authorId="0" shapeId="0" xr:uid="{00000000-0006-0000-0900-00003A000000}">
      <text>
        <r>
          <rPr>
            <sz val="10"/>
            <rFont val="Arial"/>
            <family val="2"/>
          </rPr>
          <t>DCF per share = [PV(FY26-FY29 FCFF) + PV(Terminal Value) + Cash − Debt − Pref] / Shares. FY25A excluded per main DCF convention.</t>
        </r>
      </text>
    </comment>
    <comment ref="F86" authorId="0" shapeId="0" xr:uid="{00000000-0006-0000-0900-000041000000}">
      <text>
        <r>
          <rPr>
            <sz val="10"/>
            <rFont val="Arial"/>
            <family val="2"/>
          </rPr>
          <t>DCF per share = [PV(FY26-FY29 FCFF) + PV(Terminal Value) + Cash − Debt − Pref] / Shares. FY25A excluded per main DCF convention.</t>
        </r>
      </text>
    </comment>
    <comment ref="G86" authorId="0" shapeId="0" xr:uid="{00000000-0006-0000-0900-000048000000}">
      <text>
        <r>
          <rPr>
            <sz val="10"/>
            <rFont val="Arial"/>
            <family val="2"/>
          </rPr>
          <t>DCF per share = [PV(FY26-FY29 FCFF) + PV(Terminal Value) + Cash − Debt − Pref] / Shares. FY25A excluded per main DCF convention.</t>
        </r>
      </text>
    </comment>
    <comment ref="H86" authorId="0" shapeId="0" xr:uid="{00000000-0006-0000-0900-00004F000000}">
      <text>
        <r>
          <rPr>
            <sz val="10"/>
            <rFont val="Arial"/>
            <family val="2"/>
          </rPr>
          <t>DCF per share = [PV(FY26-FY29 FCFF) + PV(Terminal Value) + Cash − Debt − Pref] / Shares. FY25A excluded per main DCF convention.</t>
        </r>
      </text>
    </comment>
    <comment ref="B87" authorId="0" shapeId="0" xr:uid="{00000000-0006-0000-0900-000020000000}">
      <text>
        <r>
          <rPr>
            <sz val="10"/>
            <rFont val="Arial"/>
            <family val="2"/>
          </rPr>
          <t>DCF per share = [PV(FY26-FY29 FCFF) + PV(Terminal Value) + Cash − Debt − Pref] / Shares. FY25A excluded per main DCF convention.</t>
        </r>
      </text>
    </comment>
    <comment ref="C87" authorId="0" shapeId="0" xr:uid="{00000000-0006-0000-0900-00002D000000}">
      <text>
        <r>
          <rPr>
            <sz val="10"/>
            <rFont val="Arial"/>
            <family val="2"/>
          </rPr>
          <t>DCF per share = [PV(FY26-FY29 FCFF) + PV(Terminal Value) + Cash − Debt − Pref] / Shares. FY25A excluded per main DCF convention.</t>
        </r>
      </text>
    </comment>
    <comment ref="D87" authorId="0" shapeId="0" xr:uid="{00000000-0006-0000-0900-000034000000}">
      <text>
        <r>
          <rPr>
            <sz val="10"/>
            <rFont val="Arial"/>
            <family val="2"/>
          </rPr>
          <t>DCF per share = [PV(FY26-FY29 FCFF) + PV(Terminal Value) + Cash − Debt − Pref] / Shares. FY25A excluded per main DCF convention.</t>
        </r>
      </text>
    </comment>
    <comment ref="E87" authorId="0" shapeId="0" xr:uid="{00000000-0006-0000-0900-00003B000000}">
      <text>
        <r>
          <rPr>
            <sz val="10"/>
            <rFont val="Arial"/>
            <family val="2"/>
          </rPr>
          <t>DCF per share = [PV(FY26-FY29 FCFF) + PV(Terminal Value) + Cash − Debt − Pref] / Shares. FY25A excluded per main DCF convention.</t>
        </r>
      </text>
    </comment>
    <comment ref="F87" authorId="0" shapeId="0" xr:uid="{00000000-0006-0000-0900-000042000000}">
      <text>
        <r>
          <rPr>
            <sz val="10"/>
            <rFont val="Arial"/>
            <family val="2"/>
          </rPr>
          <t>DCF per share = [PV(FY26-FY29 FCFF) + PV(Terminal Value) + Cash − Debt − Pref] / Shares. FY25A excluded per main DCF convention.</t>
        </r>
      </text>
    </comment>
    <comment ref="G87" authorId="0" shapeId="0" xr:uid="{00000000-0006-0000-0900-000049000000}">
      <text>
        <r>
          <rPr>
            <sz val="10"/>
            <rFont val="Arial"/>
            <family val="2"/>
          </rPr>
          <t>DCF per share = [PV(FY26-FY29 FCFF) + PV(Terminal Value) + Cash − Debt − Pref] / Shares. FY25A excluded per main DCF convention.</t>
        </r>
      </text>
    </comment>
    <comment ref="H87" authorId="0" shapeId="0" xr:uid="{00000000-0006-0000-0900-000050000000}">
      <text>
        <r>
          <rPr>
            <sz val="10"/>
            <rFont val="Arial"/>
            <family val="2"/>
          </rPr>
          <t>DCF per share = [PV(FY26-FY29 FCFF) + PV(Terminal Value) + Cash − Debt − Pref] / Shares. FY25A excluded per main DCF convention.</t>
        </r>
      </text>
    </comment>
    <comment ref="B88" authorId="0" shapeId="0" xr:uid="{00000000-0006-0000-0900-000021000000}">
      <text>
        <r>
          <rPr>
            <sz val="10"/>
            <rFont val="Arial"/>
            <family val="2"/>
          </rPr>
          <t>DCF per share = [PV(FY26-FY29 FCFF) + PV(Terminal Value) + Cash − Debt − Pref] / Shares. FY25A excluded per main DCF convention.</t>
        </r>
      </text>
    </comment>
    <comment ref="C88" authorId="0" shapeId="0" xr:uid="{00000000-0006-0000-0900-00002E000000}">
      <text>
        <r>
          <rPr>
            <sz val="10"/>
            <rFont val="Arial"/>
            <family val="2"/>
          </rPr>
          <t>DCF per share = [PV(FY26-FY29 FCFF) + PV(Terminal Value) + Cash − Debt − Pref] / Shares. FY25A excluded per main DCF convention.</t>
        </r>
      </text>
    </comment>
    <comment ref="D88" authorId="0" shapeId="0" xr:uid="{00000000-0006-0000-0900-000035000000}">
      <text>
        <r>
          <rPr>
            <sz val="10"/>
            <rFont val="Arial"/>
            <family val="2"/>
          </rPr>
          <t>DCF per share = [PV(FY26-FY29 FCFF) + PV(Terminal Value) + Cash − Debt − Pref] / Shares. FY25A excluded per main DCF convention.</t>
        </r>
      </text>
    </comment>
    <comment ref="E88" authorId="0" shapeId="0" xr:uid="{00000000-0006-0000-0900-00003C000000}">
      <text>
        <r>
          <rPr>
            <sz val="10"/>
            <rFont val="Arial"/>
            <family val="2"/>
          </rPr>
          <t>DCF per share = [PV(FY26-FY29 FCFF) + PV(Terminal Value) + Cash − Debt − Pref] / Shares. FY25A excluded per main DCF convention.</t>
        </r>
      </text>
    </comment>
    <comment ref="F88" authorId="0" shapeId="0" xr:uid="{00000000-0006-0000-0900-000043000000}">
      <text>
        <r>
          <rPr>
            <sz val="10"/>
            <rFont val="Arial"/>
            <family val="2"/>
          </rPr>
          <t>DCF per share = [PV(FY26-FY29 FCFF) + PV(Terminal Value) + Cash − Debt − Pref] / Shares. FY25A excluded per main DCF convention.</t>
        </r>
      </text>
    </comment>
    <comment ref="G88" authorId="0" shapeId="0" xr:uid="{00000000-0006-0000-0900-00004A000000}">
      <text>
        <r>
          <rPr>
            <sz val="10"/>
            <rFont val="Arial"/>
            <family val="2"/>
          </rPr>
          <t>DCF per share = [PV(FY26-FY29 FCFF) + PV(Terminal Value) + Cash − Debt − Pref] / Shares. FY25A excluded per main DCF convention.</t>
        </r>
      </text>
    </comment>
    <comment ref="H88" authorId="0" shapeId="0" xr:uid="{00000000-0006-0000-0900-000051000000}">
      <text>
        <r>
          <rPr>
            <sz val="10"/>
            <rFont val="Arial"/>
            <family val="2"/>
          </rPr>
          <t>DCF per share = [PV(FY26-FY29 FCFF) + PV(Terminal Value) + Cash − Debt − Pref] / Shares. FY25A excluded per main DCF convention.</t>
        </r>
      </text>
    </comment>
    <comment ref="B89" authorId="0" shapeId="0" xr:uid="{00000000-0006-0000-0900-000022000000}">
      <text>
        <r>
          <rPr>
            <sz val="10"/>
            <rFont val="Arial"/>
            <family val="2"/>
          </rPr>
          <t>DCF per share = [PV(FY26-FY29 FCFF) + PV(Terminal Value) + Cash − Debt − Pref] / Shares. FY25A excluded per main DCF convention.</t>
        </r>
      </text>
    </comment>
    <comment ref="C89" authorId="0" shapeId="0" xr:uid="{00000000-0006-0000-0900-00002F000000}">
      <text>
        <r>
          <rPr>
            <sz val="10"/>
            <rFont val="Arial"/>
            <family val="2"/>
          </rPr>
          <t>DCF per share = [PV(FY26-FY29 FCFF) + PV(Terminal Value) + Cash − Debt − Pref] / Shares. FY25A excluded per main DCF convention.</t>
        </r>
      </text>
    </comment>
    <comment ref="D89" authorId="0" shapeId="0" xr:uid="{00000000-0006-0000-0900-000036000000}">
      <text>
        <r>
          <rPr>
            <sz val="10"/>
            <rFont val="Arial"/>
            <family val="2"/>
          </rPr>
          <t>DCF per share = [PV(FY26-FY29 FCFF) + PV(Terminal Value) + Cash − Debt − Pref] / Shares. FY25A excluded per main DCF convention.</t>
        </r>
      </text>
    </comment>
    <comment ref="E89" authorId="0" shapeId="0" xr:uid="{00000000-0006-0000-0900-00003D000000}">
      <text>
        <r>
          <rPr>
            <sz val="10"/>
            <rFont val="Arial"/>
            <family val="2"/>
          </rPr>
          <t>DCF per share = [PV(FY26-FY29 FCFF) + PV(Terminal Value) + Cash − Debt − Pref] / Shares. FY25A excluded per main DCF convention.</t>
        </r>
      </text>
    </comment>
    <comment ref="F89" authorId="0" shapeId="0" xr:uid="{00000000-0006-0000-0900-000044000000}">
      <text>
        <r>
          <rPr>
            <sz val="10"/>
            <rFont val="Arial"/>
            <family val="2"/>
          </rPr>
          <t>DCF per share = [PV(FY26-FY29 FCFF) + PV(Terminal Value) + Cash − Debt − Pref] / Shares. FY25A excluded per main DCF convention.</t>
        </r>
      </text>
    </comment>
    <comment ref="G89" authorId="0" shapeId="0" xr:uid="{00000000-0006-0000-0900-00004B000000}">
      <text>
        <r>
          <rPr>
            <sz val="10"/>
            <rFont val="Arial"/>
            <family val="2"/>
          </rPr>
          <t>DCF per share = [PV(FY26-FY29 FCFF) + PV(Terminal Value) + Cash − Debt − Pref] / Shares. FY25A excluded per main DCF convention.</t>
        </r>
      </text>
    </comment>
    <comment ref="H89" authorId="0" shapeId="0" xr:uid="{00000000-0006-0000-0900-000052000000}">
      <text>
        <r>
          <rPr>
            <sz val="10"/>
            <rFont val="Arial"/>
            <family val="2"/>
          </rPr>
          <t>DCF per share = [PV(FY26-FY29 FCFF) + PV(Terminal Value) + Cash − Debt − Pref] / Shares. FY25A excluded per main DCF convention.</t>
        </r>
      </text>
    </comment>
    <comment ref="B90" authorId="0" shapeId="0" xr:uid="{00000000-0006-0000-0900-000023000000}">
      <text>
        <r>
          <rPr>
            <sz val="10"/>
            <rFont val="Arial"/>
            <family val="2"/>
          </rPr>
          <t>DCF per share = [PV(FY26-FY29 FCFF) + PV(Terminal Value) + Cash − Debt − Pref] / Shares. FY25A excluded per main DCF convention.</t>
        </r>
      </text>
    </comment>
    <comment ref="C90" authorId="0" shapeId="0" xr:uid="{00000000-0006-0000-0900-000030000000}">
      <text>
        <r>
          <rPr>
            <sz val="10"/>
            <rFont val="Arial"/>
            <family val="2"/>
          </rPr>
          <t>DCF per share = [PV(FY26-FY29 FCFF) + PV(Terminal Value) + Cash − Debt − Pref] / Shares. FY25A excluded per main DCF convention.</t>
        </r>
      </text>
    </comment>
    <comment ref="D90" authorId="0" shapeId="0" xr:uid="{00000000-0006-0000-0900-000037000000}">
      <text>
        <r>
          <rPr>
            <sz val="10"/>
            <rFont val="Arial"/>
            <family val="2"/>
          </rPr>
          <t>DCF per share = [PV(FY26-FY29 FCFF) + PV(Terminal Value) + Cash − Debt − Pref] / Shares. FY25A excluded per main DCF convention.</t>
        </r>
      </text>
    </comment>
    <comment ref="E90" authorId="0" shapeId="0" xr:uid="{00000000-0006-0000-0900-00003E000000}">
      <text>
        <r>
          <rPr>
            <sz val="10"/>
            <rFont val="Arial"/>
            <family val="2"/>
          </rPr>
          <t>DCF per share = [PV(FY26-FY29 FCFF) + PV(Terminal Value) + Cash − Debt − Pref] / Shares. FY25A excluded per main DCF convention.</t>
        </r>
      </text>
    </comment>
    <comment ref="F90" authorId="0" shapeId="0" xr:uid="{00000000-0006-0000-0900-000045000000}">
      <text>
        <r>
          <rPr>
            <sz val="10"/>
            <rFont val="Arial"/>
            <family val="2"/>
          </rPr>
          <t>DCF per share = [PV(FY26-FY29 FCFF) + PV(Terminal Value) + Cash − Debt − Pref] / Shares. FY25A excluded per main DCF convention.</t>
        </r>
      </text>
    </comment>
    <comment ref="G90" authorId="0" shapeId="0" xr:uid="{00000000-0006-0000-0900-00004C000000}">
      <text>
        <r>
          <rPr>
            <sz val="10"/>
            <rFont val="Arial"/>
            <family val="2"/>
          </rPr>
          <t>DCF per share = [PV(FY26-FY29 FCFF) + PV(Terminal Value) + Cash − Debt − Pref] / Shares. FY25A excluded per main DCF convention.</t>
        </r>
      </text>
    </comment>
    <comment ref="H90" authorId="0" shapeId="0" xr:uid="{00000000-0006-0000-0900-000053000000}">
      <text>
        <r>
          <rPr>
            <sz val="10"/>
            <rFont val="Arial"/>
            <family val="2"/>
          </rPr>
          <t>DCF per share = [PV(FY26-FY29 FCFF) + PV(Terminal Value) + Cash − Debt − Pref] / Shares. FY25A excluded per main DCF convention.</t>
        </r>
      </text>
    </comment>
    <comment ref="B91" authorId="0" shapeId="0" xr:uid="{00000000-0006-0000-0900-000024000000}">
      <text>
        <r>
          <rPr>
            <sz val="10"/>
            <rFont val="Arial"/>
            <family val="2"/>
          </rPr>
          <t>DCF per share = [PV(FY26-FY33 FCFF) + PV(Terminal Value) + Cash − Debt − Pref] / Shares. 8-year explicit forecast.</t>
        </r>
      </text>
    </comment>
    <comment ref="C91" authorId="0" shapeId="0" xr:uid="{00000000-0006-0000-0900-000031000000}">
      <text>
        <r>
          <rPr>
            <sz val="10"/>
            <rFont val="Arial"/>
            <family val="2"/>
          </rPr>
          <t>DCF per share = [PV(FY26-FY29 FCFF) + PV(Terminal Value) + Cash − Debt − Pref] / Shares. FY25A excluded per main DCF convention.</t>
        </r>
      </text>
    </comment>
    <comment ref="D91" authorId="0" shapeId="0" xr:uid="{00000000-0006-0000-0900-000038000000}">
      <text>
        <r>
          <rPr>
            <sz val="10"/>
            <rFont val="Arial"/>
            <family val="2"/>
          </rPr>
          <t>DCF per share = [PV(FY26-FY29 FCFF) + PV(Terminal Value) + Cash − Debt − Pref] / Shares. FY25A excluded per main DCF convention.</t>
        </r>
      </text>
    </comment>
    <comment ref="E91" authorId="0" shapeId="0" xr:uid="{00000000-0006-0000-0900-00003F000000}">
      <text>
        <r>
          <rPr>
            <sz val="10"/>
            <rFont val="Arial"/>
            <family val="2"/>
          </rPr>
          <t>DCF per share = [PV(FY26-FY29 FCFF) + PV(Terminal Value) + Cash − Debt − Pref] / Shares. FY25A excluded per main DCF convention.</t>
        </r>
      </text>
    </comment>
    <comment ref="F91" authorId="0" shapeId="0" xr:uid="{00000000-0006-0000-0900-000046000000}">
      <text>
        <r>
          <rPr>
            <sz val="10"/>
            <rFont val="Arial"/>
            <family val="2"/>
          </rPr>
          <t>DCF per share = [PV(FY26-FY29 FCFF) + PV(Terminal Value) + Cash − Debt − Pref] / Shares. FY25A excluded per main DCF convention.</t>
        </r>
      </text>
    </comment>
    <comment ref="G91" authorId="0" shapeId="0" xr:uid="{00000000-0006-0000-0900-00004D000000}">
      <text>
        <r>
          <rPr>
            <sz val="10"/>
            <rFont val="Arial"/>
            <family val="2"/>
          </rPr>
          <t>DCF per share = [PV(FY26-FY29 FCFF) + PV(Terminal Value) + Cash − Debt − Pref] / Shares. FY25A excluded per main DCF convention.</t>
        </r>
      </text>
    </comment>
    <comment ref="H91" authorId="0" shapeId="0" xr:uid="{00000000-0006-0000-0900-000054000000}">
      <text>
        <r>
          <rPr>
            <sz val="10"/>
            <rFont val="Arial"/>
            <family val="2"/>
          </rPr>
          <t>DCF per share = [PV(FY26-FY29 FCFF) + PV(Terminal Value) + Cash − Debt − Pref] / Shares. FY25A excluded per main DCF convention.</t>
        </r>
      </text>
    </comment>
    <comment ref="B95" authorId="0" shapeId="0" xr:uid="{00000000-0006-0000-0900-000025000000}">
      <text>
        <r>
          <rPr>
            <sz val="10"/>
            <rFont val="Arial"/>
            <family val="2"/>
          </rPr>
          <t>Sandur Manganese EV/EBITDA (10.6x) — sole listed peer with coke operations. Source: Comparable Company Analysis sheet.</t>
        </r>
      </text>
    </comment>
    <comment ref="B96" authorId="0" shapeId="0" xr:uid="{00000000-0006-0000-0900-000026000000}">
      <text>
        <r>
          <rPr>
            <sz val="10"/>
            <rFont val="Arial"/>
            <family val="2"/>
          </rPr>
          <t>Linked from 3-Statement Projection FY33E EBITDA (col K)</t>
        </r>
      </text>
    </comment>
    <comment ref="B98" authorId="0" shapeId="0" xr:uid="{00000000-0006-0000-0900-000027000000}">
      <text>
        <r>
          <rPr>
            <sz val="10"/>
            <rFont val="Arial"/>
            <family val="2"/>
          </rPr>
          <t>Divyanshu Vatsa:
Cross-check: Compare this to the Gordon Growth Terminal Value (B59 = TV, B60 = PV of TV) to validate conservatism.</t>
        </r>
      </text>
    </comment>
    <comment ref="B108" authorId="1" shapeId="0" xr:uid="{6E144AC0-3F49-4B40-B166-F298FEFB12E8}">
      <text>
        <r>
          <rPr>
            <b/>
            <sz val="9"/>
            <color indexed="81"/>
            <rFont val="Tahoma"/>
            <family val="2"/>
          </rPr>
          <t>Lender / Conservative WACC — wired to Scenario Engine row 89 (Section 10). Mentor benchmark = 14.10%.</t>
        </r>
      </text>
    </comment>
    <comment ref="B109" authorId="1" shapeId="0" xr:uid="{105134C7-562F-4D26-B534-0D3A99A2D3CF}">
      <text>
        <r>
          <rPr>
            <b/>
            <sz val="9"/>
            <color indexed="81"/>
            <rFont val="Tahoma"/>
            <family val="2"/>
          </rPr>
          <t>Divyanshu Vatsa:</t>
        </r>
        <r>
          <rPr>
            <sz val="9"/>
            <color indexed="81"/>
            <rFont val="Tahoma"/>
            <family val="2"/>
          </rPr>
          <t xml:space="preserve">
0% terminal growth — conservative assumption for lender downside case. No real growth assumed beyond explicit forecast period.</t>
        </r>
      </text>
    </comment>
    <comment ref="B110" authorId="1" shapeId="0" xr:uid="{145968D0-F6CD-4EF6-BE44-439F070CD875}">
      <text>
        <r>
          <rPr>
            <b/>
            <sz val="9"/>
            <color indexed="81"/>
            <rFont val="Tahoma"/>
            <family val="2"/>
          </rPr>
          <t>Divyanshu Vatsa:</t>
        </r>
        <r>
          <rPr>
            <sz val="9"/>
            <color indexed="81"/>
            <rFont val="Tahoma"/>
            <family val="2"/>
          </rPr>
          <t xml:space="preserve">
Same as base case — Section 115BAA rate (25.168%)</t>
        </r>
      </text>
    </comment>
    <comment ref="B127" authorId="1" shapeId="0" xr:uid="{5F2970AE-295F-4A24-931B-D8995C695126}">
      <text>
        <r>
          <rPr>
            <b/>
            <sz val="9"/>
            <color indexed="81"/>
            <rFont val="Tahoma"/>
            <family val="2"/>
          </rPr>
          <t>Divyanshu Vatsa:</t>
        </r>
        <r>
          <rPr>
            <sz val="9"/>
            <color indexed="81"/>
            <rFont val="Tahoma"/>
            <family val="2"/>
          </rPr>
          <t xml:space="preserve">
TV = [FCFF_FY29 × (1 + g)] / (WACC − g). With g=0%, TV = FCFF / WACC.</t>
        </r>
      </text>
    </comment>
    <comment ref="B128" authorId="1" shapeId="0" xr:uid="{D4D1B4FC-3F2B-48F2-BADF-BC339D9FFBB9}">
      <text>
        <r>
          <rPr>
            <b/>
            <sz val="9"/>
            <color indexed="81"/>
            <rFont val="Tahoma"/>
            <family val="2"/>
          </rPr>
          <t>PV of Terminal Value = TV / (1+WACC)^8. FY33E is 8 years from valuation date (FY25A = t=0). Conservative WACC 14.10%.</t>
        </r>
      </text>
    </comment>
    <comment ref="B133" authorId="1" shapeId="0" xr:uid="{F6C767E1-4FA5-4E2E-AEF4-97E7A6BDB1A4}">
      <text>
        <r>
          <rPr>
            <b/>
            <sz val="9"/>
            <color indexed="81"/>
            <rFont val="Tahoma"/>
            <family val="2"/>
          </rPr>
          <t>Divyanshu Vatsa:</t>
        </r>
        <r>
          <rPr>
            <sz val="9"/>
            <color indexed="81"/>
            <rFont val="Tahoma"/>
            <family val="2"/>
          </rPr>
          <t xml:space="preserve">
EV = Sum(PV of FCFF) + PV of Terminal Value</t>
        </r>
      </text>
    </comment>
    <comment ref="B140" authorId="1" shapeId="0" xr:uid="{BC0FCC17-2E6D-4A89-BDAE-DF3BCE8DF15A}">
      <text>
        <r>
          <rPr>
            <b/>
            <sz val="9"/>
            <color indexed="81"/>
            <rFont val="Tahoma"/>
            <family val="2"/>
          </rPr>
          <t>Divyanshu Vatsa:</t>
        </r>
        <r>
          <rPr>
            <sz val="9"/>
            <color indexed="81"/>
            <rFont val="Tahoma"/>
            <family val="2"/>
          </rPr>
          <t xml:space="preserve">
Same cash balance as base case — linked from The 3-Statement Projection FY25A</t>
        </r>
      </text>
    </comment>
    <comment ref="B141" authorId="1" shapeId="0" xr:uid="{8130E5CB-B70F-47E1-9118-6E5F4CA9D6EC}">
      <text>
        <r>
          <rPr>
            <b/>
            <sz val="9"/>
            <color indexed="81"/>
            <rFont val="Tahoma"/>
            <family val="2"/>
          </rPr>
          <t>Divyanshu Vatsa:</t>
        </r>
        <r>
          <rPr>
            <sz val="9"/>
            <color indexed="81"/>
            <rFont val="Tahoma"/>
            <family val="2"/>
          </rPr>
          <t xml:space="preserve">
Same debt as base case — linked from The 3-Statement Projection FY25A</t>
        </r>
      </text>
    </comment>
    <comment ref="B144" authorId="1" shapeId="0" xr:uid="{5C3390B5-2DDF-4C3D-A545-FAD80179A219}">
      <text>
        <r>
          <rPr>
            <b/>
            <sz val="9"/>
            <color indexed="81"/>
            <rFont val="Tahoma"/>
            <family val="2"/>
          </rPr>
          <t>Divyanshu Vatsa:</t>
        </r>
        <r>
          <rPr>
            <sz val="9"/>
            <color indexed="81"/>
            <rFont val="Tahoma"/>
            <family val="2"/>
          </rPr>
          <t xml:space="preserve">
= EV + Cash − Total Debt − Preference Capital</t>
        </r>
      </text>
    </comment>
    <comment ref="B148" authorId="1" shapeId="0" xr:uid="{790855D2-9D04-4D7C-9B15-8AEB34AA1AAB}">
      <text>
        <r>
          <rPr>
            <b/>
            <sz val="9"/>
            <color indexed="81"/>
            <rFont val="Tahoma"/>
            <family val="2"/>
          </rPr>
          <t>Divyanshu Vatsa:</t>
        </r>
        <r>
          <rPr>
            <sz val="9"/>
            <color indexed="81"/>
            <rFont val="Tahoma"/>
            <family val="2"/>
          </rPr>
          <t xml:space="preserve">
Same shares outstanding as base case (linked to B80, which sources Scenario Engine).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3" authorId="0" shapeId="0" xr:uid="{00000000-0006-0000-0A00-000001000000}">
      <text>
        <r>
          <rPr>
            <sz val="10"/>
            <rFont val="Arial"/>
            <family val="2"/>
          </rPr>
          <t>Base WACC = 12.75%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A7" authorId="0" shapeId="0" xr:uid="{00000000-0006-0000-0B00-000001000000}">
      <text>
        <r>
          <rPr>
            <sz val="10"/>
            <rFont val="Arial"/>
            <family val="2"/>
          </rPr>
          <t>Source: Screener.in (unofficial aggregator), https://www.screener.in/company/SANDUMA/consolidated/
Closest listed peer with coke operations. Primarily a mining company (~64% revenue from mining), also manufactures ferroalloys and coke. Coke segment is secondary — not a pure-play comp.</t>
        </r>
      </text>
    </comment>
    <comment ref="C7" authorId="0" shapeId="0" xr:uid="{00000000-0006-0000-0B00-000009000000}">
      <text>
        <r>
          <rPr>
            <sz val="10"/>
            <rFont val="Arial"/>
            <family val="2"/>
          </rPr>
          <t>Source: Screener.in (unofficial), https://www.screener.in/company/SANDUMA/consolidated/
Market Cap as of valuation date.</t>
        </r>
      </text>
    </comment>
    <comment ref="D7" authorId="0" shapeId="0" xr:uid="{00000000-0006-0000-0B00-00000B000000}">
      <text>
        <r>
          <rPr>
            <sz val="10"/>
            <rFont val="Arial"/>
            <family val="2"/>
          </rPr>
          <t>Source: Zerodha (unofficial), https://zerodha.com/markets/stocks/BSE/SANDUMA/ — Net Debt as of Sep-25: ₹1,772 Cr</t>
        </r>
      </text>
    </comment>
    <comment ref="F7" authorId="0" shapeId="0" xr:uid="{00000000-0006-0000-0B00-00000E000000}">
      <text>
        <r>
          <rPr>
            <sz val="10"/>
            <rFont val="Arial"/>
            <family val="2"/>
          </rPr>
          <t>Source: Derived from EV/EBITDA 10.62x (Zerodha) and EV ~₹10,368 Cr. FY25 EBITDA ~₹976 Cr.</t>
        </r>
      </text>
    </comment>
    <comment ref="H7" authorId="0" shapeId="0" xr:uid="{00000000-0006-0000-0B00-00000F000000}">
      <text>
        <r>
          <rPr>
            <sz val="10"/>
            <rFont val="Arial"/>
            <family val="2"/>
          </rPr>
          <t>Source: BSE/Tickertape — 48,61,04,814 shares post 2:1 bonus issue (Sep 2025)</t>
        </r>
      </text>
    </comment>
    <comment ref="A8" authorId="0" shapeId="0" xr:uid="{00000000-0006-0000-0B00-000002000000}">
      <text>
        <r>
          <rPr>
            <sz val="10"/>
            <rFont val="Arial"/>
            <family val="2"/>
          </rPr>
          <t>India's largest independent coke producer (1.46 MTPA capacity). Under CIRP/liquidation since 2018 — stock suspended at ₹0.93. NOT usable as a valuation comp. Included for context only.</t>
        </r>
      </text>
    </comment>
    <comment ref="A9" authorId="1" shapeId="0" xr:uid="{F7523D60-2287-4560-9FA9-4DDCBD143F24}">
      <text>
        <r>
          <rPr>
            <b/>
            <sz val="9"/>
            <color indexed="81"/>
            <rFont val="Tahoma"/>
            <family val="2"/>
          </rPr>
          <t>Divyanshu Vatsa:</t>
        </r>
        <r>
          <rPr>
            <sz val="9"/>
            <color indexed="81"/>
            <rFont val="Tahoma"/>
            <family val="2"/>
          </rPr>
          <t xml:space="preserve">
Listed (China). Largest private coking coal &amp; coke producer. Pure-play coke/coal processing. Data: Bloomberg/Wind, CY24 approximate.</t>
        </r>
      </text>
    </comment>
    <comment ref="C9" authorId="1" shapeId="0" xr:uid="{4EB30B09-B03C-4CC5-8C82-D22BA3748DA8}">
      <text>
        <r>
          <rPr>
            <b/>
            <sz val="9"/>
            <color indexed="81"/>
            <rFont val="Tahoma"/>
            <family val="2"/>
          </rPr>
          <t>Divyanshu Vatsa:</t>
        </r>
        <r>
          <rPr>
            <sz val="9"/>
            <color indexed="81"/>
            <rFont val="Tahoma"/>
            <family val="2"/>
          </rPr>
          <t xml:space="preserve">
Approximate FY24/CY24. To be verified with Bloomberg/FactSet before final presentation.</t>
        </r>
      </text>
    </comment>
    <comment ref="D9" authorId="1" shapeId="0" xr:uid="{90E029BF-6122-49CC-AA2D-7461B7F64C4F}">
      <text>
        <r>
          <rPr>
            <b/>
            <sz val="9"/>
            <color indexed="81"/>
            <rFont val="Tahoma"/>
            <family val="2"/>
          </rPr>
          <t>Divyanshu Vatsa:</t>
        </r>
        <r>
          <rPr>
            <sz val="9"/>
            <color indexed="81"/>
            <rFont val="Tahoma"/>
            <family val="2"/>
          </rPr>
          <t xml:space="preserve">
Approximate. To be verified with Bloomberg/FactSet.</t>
        </r>
      </text>
    </comment>
    <comment ref="F9" authorId="1" shapeId="0" xr:uid="{E497EF75-C167-45A2-8C49-2EF0F8978163}">
      <text>
        <r>
          <rPr>
            <b/>
            <sz val="9"/>
            <color indexed="81"/>
            <rFont val="Tahoma"/>
            <family val="2"/>
          </rPr>
          <t>Divyanshu Vatsa:</t>
        </r>
        <r>
          <rPr>
            <sz val="9"/>
            <color indexed="81"/>
            <rFont val="Tahoma"/>
            <family val="2"/>
          </rPr>
          <t xml:space="preserve">
Approximate CY24 EBITDA. To be verified.</t>
        </r>
      </text>
    </comment>
    <comment ref="A10" authorId="1" shapeId="0" xr:uid="{43C5A3E0-1F0B-4310-836E-EE48B640319F}">
      <text>
        <r>
          <rPr>
            <b/>
            <sz val="9"/>
            <color indexed="81"/>
            <rFont val="Tahoma"/>
            <family val="2"/>
          </rPr>
          <t>Divyanshu Vatsa:</t>
        </r>
        <r>
          <rPr>
            <sz val="9"/>
            <color indexed="81"/>
            <rFont val="Tahoma"/>
            <family val="2"/>
          </rPr>
          <t xml:space="preserve">
Listed (HK: 1907). China's largest independent coke processor. Pure-play coke chemical company. Data: Bloomberg, CY24 approximate.</t>
        </r>
      </text>
    </comment>
    <comment ref="C10" authorId="1" shapeId="0" xr:uid="{BF06B2D4-F59E-4495-A115-EF282666059F}">
      <text>
        <r>
          <rPr>
            <b/>
            <sz val="9"/>
            <color indexed="81"/>
            <rFont val="Tahoma"/>
            <family val="2"/>
          </rPr>
          <t>Divyanshu Vatsa:</t>
        </r>
        <r>
          <rPr>
            <sz val="9"/>
            <color indexed="81"/>
            <rFont val="Tahoma"/>
            <family val="2"/>
          </rPr>
          <t xml:space="preserve">
Approximate. To be verified with Bloomberg/FactSet.</t>
        </r>
      </text>
    </comment>
    <comment ref="D10" authorId="1" shapeId="0" xr:uid="{C5AD2DA9-7B9D-4B87-B190-C9CDCA506256}">
      <text>
        <r>
          <rPr>
            <b/>
            <sz val="9"/>
            <color indexed="81"/>
            <rFont val="Tahoma"/>
            <family val="2"/>
          </rPr>
          <t>Divyanshu Vatsa:</t>
        </r>
        <r>
          <rPr>
            <sz val="9"/>
            <color indexed="81"/>
            <rFont val="Tahoma"/>
            <family val="2"/>
          </rPr>
          <t xml:space="preserve">
Approximate. To be verified.</t>
        </r>
      </text>
    </comment>
    <comment ref="F10" authorId="1" shapeId="0" xr:uid="{48BDE940-1A3F-48A8-9D08-A6325CDA1C56}">
      <text>
        <r>
          <rPr>
            <b/>
            <sz val="9"/>
            <color indexed="81"/>
            <rFont val="Tahoma"/>
            <family val="2"/>
          </rPr>
          <t>Divyanshu Vatsa:</t>
        </r>
        <r>
          <rPr>
            <sz val="9"/>
            <color indexed="81"/>
            <rFont val="Tahoma"/>
            <family val="2"/>
          </rPr>
          <t xml:space="preserve">
Approximate CY24 EBITDA. To be verified.</t>
        </r>
      </text>
    </comment>
    <comment ref="A11" authorId="1" shapeId="0" xr:uid="{CC02231D-58FE-44E1-B382-6DFCE83F7613}">
      <text>
        <r>
          <rPr>
            <b/>
            <sz val="9"/>
            <color indexed="81"/>
            <rFont val="Tahoma"/>
            <family val="2"/>
          </rPr>
          <t>Divyanshu Vatsa:</t>
        </r>
        <r>
          <rPr>
            <sz val="9"/>
            <color indexed="81"/>
            <rFont val="Tahoma"/>
            <family val="2"/>
          </rPr>
          <t xml:space="preserve">
Listed (China: 600997). Major coke &amp; coal chemical producer. Data: Bloomberg/Wind, CY24 approximate.</t>
        </r>
      </text>
    </comment>
    <comment ref="C11" authorId="1" shapeId="0" xr:uid="{DDA7E122-EC64-4055-ABFF-4EF5DEFC9589}">
      <text>
        <r>
          <rPr>
            <b/>
            <sz val="9"/>
            <color indexed="81"/>
            <rFont val="Tahoma"/>
            <family val="2"/>
          </rPr>
          <t>Divyanshu Vatsa:</t>
        </r>
        <r>
          <rPr>
            <sz val="9"/>
            <color indexed="81"/>
            <rFont val="Tahoma"/>
            <family val="2"/>
          </rPr>
          <t xml:space="preserve">
Approximate. To be verified with Bloomberg/FactSet.</t>
        </r>
      </text>
    </comment>
    <comment ref="D11" authorId="1" shapeId="0" xr:uid="{63D92200-6E64-446E-A544-34C3FB1437C5}">
      <text>
        <r>
          <rPr>
            <b/>
            <sz val="9"/>
            <color indexed="81"/>
            <rFont val="Tahoma"/>
            <family val="2"/>
          </rPr>
          <t>Divyanshu Vatsa:</t>
        </r>
        <r>
          <rPr>
            <sz val="9"/>
            <color indexed="81"/>
            <rFont val="Tahoma"/>
            <family val="2"/>
          </rPr>
          <t xml:space="preserve">
Approximate. To be verified.</t>
        </r>
      </text>
    </comment>
    <comment ref="F11" authorId="1" shapeId="0" xr:uid="{F614F592-7256-4C1D-A74B-85077823A38E}">
      <text>
        <r>
          <rPr>
            <b/>
            <sz val="9"/>
            <color indexed="81"/>
            <rFont val="Tahoma"/>
            <family val="2"/>
          </rPr>
          <t>Divyanshu Vatsa:</t>
        </r>
        <r>
          <rPr>
            <sz val="9"/>
            <color indexed="81"/>
            <rFont val="Tahoma"/>
            <family val="2"/>
          </rPr>
          <t xml:space="preserve">
Approximate CY24 EBITDA. To be verified.</t>
        </r>
      </text>
    </comment>
    <comment ref="B16" authorId="0" shapeId="0" xr:uid="{00000000-0006-0000-0B00-000004000000}">
      <text>
        <r>
          <rPr>
            <sz val="10"/>
            <rFont val="Arial"/>
            <family val="2"/>
          </rPr>
          <t>Upper bound — mining premium, not pure coke. ~64% of Sandur's revenue from mining.</t>
        </r>
      </text>
    </comment>
    <comment ref="B17" authorId="1" shapeId="0" xr:uid="{3A931D29-75BD-462B-8C3E-AFB09A9BCA04}">
      <text>
        <r>
          <rPr>
            <b/>
            <sz val="9"/>
            <color indexed="81"/>
            <rFont val="Tahoma"/>
            <family val="2"/>
          </rPr>
          <t>Divyanshu Vatsa:</t>
        </r>
        <r>
          <rPr>
            <sz val="9"/>
            <color indexed="81"/>
            <rFont val="Tahoma"/>
            <family val="2"/>
          </rPr>
          <t xml:space="preserve">
Median of Shanxi Meijin (5.1x), China Risun (4.9x), Kailuan Energy (5.3x). Pure-play coke processing multiples.</t>
        </r>
      </text>
    </comment>
    <comment ref="B19" authorId="1" shapeId="0" xr:uid="{B52ADAB0-4A75-4693-BD0C-E889D72804CE}">
      <text>
        <r>
          <rPr>
            <b/>
            <sz val="9"/>
            <color indexed="81"/>
            <rFont val="Tahoma"/>
            <family val="2"/>
          </rPr>
          <t>Divyanshu Vatsa:</t>
        </r>
        <r>
          <rPr>
            <sz val="9"/>
            <color indexed="81"/>
            <rFont val="Tahoma"/>
            <family val="2"/>
          </rPr>
          <t xml:space="preserve">
China median + India premium for growth + capacity ramp. Lower bound near China median; upper bound reflects India's structural steel demand growth and JCL's COB-2 ramp-up story.</t>
        </r>
      </text>
    </comment>
    <comment ref="B30" authorId="0" shapeId="0" xr:uid="{00000000-0006-0000-0B00-000005000000}">
      <text>
        <r>
          <rPr>
            <sz val="10"/>
            <rFont val="Arial"/>
            <family val="2"/>
          </rPr>
          <t>Low end: near Chinese pure-play coke median (5.1x), reflecting commodity cyclicality risk.</t>
        </r>
      </text>
    </comment>
    <comment ref="C30" authorId="0" shapeId="0" xr:uid="{00000000-0006-0000-0B00-00000A000000}">
      <text>
        <r>
          <rPr>
            <sz val="10"/>
            <rFont val="Arial"/>
            <family val="2"/>
          </rPr>
          <t>Central: China median + 1.0x India premium for structural steel demand growth and JCL capacity ramp.</t>
        </r>
      </text>
    </comment>
    <comment ref="D30" authorId="0" shapeId="0" xr:uid="{00000000-0006-0000-0B00-00000C000000}">
      <text>
        <r>
          <rPr>
            <sz val="10"/>
            <rFont val="Arial"/>
            <family val="2"/>
          </rPr>
          <t>High end: premium for India growth + COB-2 ramp + CDQ efficiency. Still well below Sandur's 10.6x (which includes mining premium).</t>
        </r>
      </text>
    </comment>
    <comment ref="B31" authorId="0" shapeId="0" xr:uid="{00000000-0006-0000-0B00-000006000000}">
      <text>
        <r>
          <rPr>
            <sz val="10"/>
            <rFont val="Arial"/>
            <family val="2"/>
          </rPr>
          <t>Divyanshu Vatsa:
NTM EBITDA = FY26E projected (first full year post-Battery-2 ramp). Changed from FY25A trailing (₹200 Cr) to FY26E NTM (₹333 Cr) — standard practice is to apply EV/EBITDA multiple to forward (NTM) earnings, not trailing, especially during a capacity ramp-up year.</t>
        </r>
      </text>
    </comment>
    <comment ref="A40" authorId="0" shapeId="0" xr:uid="{00000000-0006-0000-0B00-000003000000}">
      <text>
        <r>
          <rPr>
            <sz val="10"/>
            <rFont val="Arial"/>
            <family val="2"/>
          </rPr>
          <t>Divyanshu Vatsa:
Discount for Lack of Marketability: 20% applied because JCL is a private company. Standard range is 15-30% per Pratt's Valuation.</t>
        </r>
      </text>
    </comment>
    <comment ref="B47" authorId="0" shapeId="0" xr:uid="{00000000-0006-0000-0B00-000007000000}">
      <text>
        <r>
          <rPr>
            <sz val="10"/>
            <rFont val="Arial"/>
            <family val="2"/>
          </rPr>
          <t>Worst case from sensitivity table (High WACC, Low g)</t>
        </r>
      </text>
    </comment>
    <comment ref="D47" authorId="0" shapeId="0" xr:uid="{00000000-0006-0000-0B00-00000D000000}">
      <text>
        <r>
          <rPr>
            <sz val="10"/>
            <rFont val="Arial"/>
            <family val="2"/>
          </rPr>
          <t>Divyanshu Vatsa:
Best case from sensitivity table (Low WACC, High g)</t>
        </r>
      </text>
    </comment>
    <comment ref="B50" authorId="0" shapeId="0" xr:uid="{00000000-0006-0000-0B00-000008000000}">
      <text>
        <r>
          <rPr>
            <sz val="10"/>
            <rFont val="Arial"/>
            <family val="2"/>
          </rPr>
          <t>Blended Central = average of DCF Central and Comps Central (post-DLOM). Both methods use NTM FY26E economics.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D00-000001000000}">
      <text>
        <r>
          <rPr>
            <sz val="10"/>
            <rFont val="Arial"/>
            <family val="2"/>
          </rPr>
          <t>Divyanshu Vatsa:
⚠️ RAW DATA SOURCE — This sheet is an independent import (likely CMIE Prowess / annual report extract). It uses different accounting classifications than the model's source sheets (I&amp;E Summary, Balance Sheet Summary). No model formula references this sheet. Key classification differences vs model sources:
1. Interest Expenses (row 18): Shows ~₹31.64 Cr (FY25) vs I&amp;E Summary ₹33.51 Cr — Exec appears to use cash-basis interest paid, I&amp;E uses accrual-basis finance costs. Systematic ₹1.9–4.3 Cr gap across all years.
2. LT Borrowings (row 32): Shows ₹127.83 Cr (FY25) vs BSS ₹279.58 Cr (excl CP) / ₹436.82 (incl CP) — Exec uses a narrower definition excluding buyers credit and certain secured facilities.
3. Shareholders' Funds (row 28): Shows ₹688.33 Cr (FY25) = equity face value (₹25.58) + reserves (₹662.75), EXCLUDES preference capital (₹109.27 Cr). Model's 3-Statement Projection includes preference capital in Total Equity (₹797.60 Cr).
For model-grade figures, refer to I&amp;E Summary, Balance Sheet Summary, and Historical FS.</t>
        </r>
      </text>
    </comment>
    <comment ref="L18" authorId="0" shapeId="0" xr:uid="{00000000-0006-0000-0D00-00000A000000}">
      <text>
        <r>
          <rPr>
            <sz val="10"/>
            <rFont val="Arial"/>
            <family val="2"/>
          </rPr>
          <t>Divyanshu Vatsa:
Exec Summary shows ₹31.64 Cr (likely cash-basis interest paid). Model uses I&amp;E Summary L44 = ₹33.51 Cr (accrual-basis finance costs). Difference: ₹1.87 Cr. No model formula references this cell.</t>
        </r>
      </text>
    </comment>
    <comment ref="L28" authorId="0" shapeId="0" xr:uid="{00000000-0006-0000-0D00-00000B000000}">
      <text>
        <r>
          <rPr>
            <sz val="10"/>
            <rFont val="Arial"/>
            <family val="2"/>
          </rPr>
          <t>Divyanshu Vatsa:
Exec Summary Shareholders' Funds = Equity face value (₹25.58) + Reserves (₹662.75) = ₹688.33 Cr. EXCLUDES preference capital of ₹109.27 Cr. Model's 3-Statement Projection Total Equity = ₹797.60 Cr (includes preference capital). No model formula references this cell.</t>
        </r>
      </text>
    </comment>
    <comment ref="L32" authorId="0" shapeId="0" xr:uid="{00000000-0006-0000-0D00-00000C000000}">
      <text>
        <r>
          <rPr>
            <sz val="10"/>
            <rFont val="Arial"/>
            <family val="2"/>
          </rPr>
          <t>Divyanshu Vatsa:
Exec Summary shows ₹127.83 Cr under a narrower LT borrowings definition. Model uses BSS L27 = ₹436.82 Cr (incl current portion) or L26 = ₹279.58 Cr (excl current portion). Difference driven by classification of buyers credit and secured term loans. No model formula references this cell.</t>
        </r>
      </text>
    </comment>
    <comment ref="B95" authorId="0" shapeId="0" xr:uid="{00000000-0006-0000-0D00-000002000000}">
      <text>
        <r>
          <rPr>
            <sz val="10"/>
            <rFont val="Arial"/>
            <family val="2"/>
          </rPr>
          <t>Snigdha Chaudhary:
= PAT / Average Equity</t>
        </r>
      </text>
    </comment>
    <comment ref="B96" authorId="0" shapeId="0" xr:uid="{00000000-0006-0000-0D00-000003000000}">
      <text>
        <r>
          <rPr>
            <sz val="10"/>
            <rFont val="Arial"/>
            <family val="2"/>
          </rPr>
          <t>Snigdha Chaudhary:
= PAT / Average Total Assets</t>
        </r>
      </text>
    </comment>
    <comment ref="B98" authorId="0" shapeId="0" xr:uid="{00000000-0006-0000-0D00-000004000000}">
      <text>
        <r>
          <rPr>
            <sz val="10"/>
            <rFont val="Arial"/>
            <family val="2"/>
          </rPr>
          <t>Snigdha Chaudhary:
= EBITDA / Interest Expense</t>
        </r>
      </text>
    </comment>
    <comment ref="B99" authorId="0" shapeId="0" xr:uid="{00000000-0006-0000-0D00-000005000000}">
      <text>
        <r>
          <rPr>
            <sz val="10"/>
            <rFont val="Arial"/>
            <family val="2"/>
          </rPr>
          <t>Snigdha Chaudhary:
= (Total Debt - Cash) / EBITDA</t>
        </r>
      </text>
    </comment>
    <comment ref="B111" authorId="0" shapeId="0" xr:uid="{00000000-0006-0000-0D00-000006000000}">
      <text>
        <r>
          <rPr>
            <sz val="10"/>
            <rFont val="Arial"/>
            <family val="2"/>
          </rPr>
          <t>Divyanshu Vatsa:
FY24 Ending Cash &amp; Bank Balance — links to WACC sheet B72 which sources from '3-Stmt Projection'!B67.</t>
        </r>
      </text>
    </comment>
    <comment ref="B112" authorId="0" shapeId="0" xr:uid="{00000000-0006-0000-0D00-000007000000}">
      <text>
        <r>
          <rPr>
            <sz val="10"/>
            <rFont val="Arial"/>
            <family val="2"/>
          </rPr>
          <t>Divyanshu Vatsa:
FY24 Total Debt (LT Borrowings + ST Borrowings) — links to WACC sheet B73.</t>
        </r>
      </text>
    </comment>
    <comment ref="B113" authorId="0" shapeId="0" xr:uid="{00000000-0006-0000-0D00-000008000000}">
      <text>
        <r>
          <rPr>
            <sz val="10"/>
            <rFont val="Arial"/>
            <family val="2"/>
          </rPr>
          <t>Divyanshu Vatsa:
Preference Share Capital (₹109.26 Cr) — treated as quasi-debt. Links to WACC sheet B74.</t>
        </r>
      </text>
    </comment>
    <comment ref="B126" authorId="0" shapeId="0" xr:uid="{00000000-0006-0000-0D00-000009000000}">
      <text>
        <r>
          <rPr>
            <sz val="10"/>
            <rFont val="Arial"/>
            <family val="2"/>
          </rPr>
          <t>Divyanshu Vatsa:
FY25A shows net drawdown (−₹112.81 Cr) as company raised new TL for Battery-2 commissioning. From FY27 this line turns positive as scheduled repayments resume (₹34/₹45/₹45 Cr).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Divyanshu Vatsa</author>
  </authors>
  <commentList>
    <comment ref="D49" authorId="0" shapeId="0" xr:uid="{B4F1774E-9FC9-439B-AF25-37769174A233}">
      <text>
        <r>
          <rPr>
            <b/>
            <sz val="9"/>
            <color indexed="81"/>
            <rFont val="Tahoma"/>
            <family val="2"/>
          </rPr>
          <t>Divyanshu Vatsa:</t>
        </r>
        <r>
          <rPr>
            <sz val="9"/>
            <color indexed="81"/>
            <rFont val="Tahoma"/>
            <family val="2"/>
          </rPr>
          <t xml:space="preserve">
= (Actual Net Sales − COG Revenue − Coal Tar Revenue) × 10^7 / Total Coke Production (MT). Assumes by-product revenues are same in actual vs build; all variance flows through coke realization.</t>
        </r>
      </text>
    </comment>
    <comment ref="D50" authorId="0" shapeId="0" xr:uid="{F70DB7CB-8122-4CA6-917F-3E2BF1C7A844}">
      <text>
        <r>
          <rPr>
            <b/>
            <sz val="9"/>
            <color indexed="81"/>
            <rFont val="Tahoma"/>
            <family val="2"/>
          </rPr>
          <t>Divyanshu Vatsa:</t>
        </r>
        <r>
          <rPr>
            <sz val="9"/>
            <color indexed="81"/>
            <rFont val="Tahoma"/>
            <family val="2"/>
          </rPr>
          <t xml:space="preserve">
= Implied actual realization − Mentor benchmark realization (₹27,000/MT)</t>
        </r>
      </text>
    </comment>
    <comment ref="D51" authorId="0" shapeId="0" xr:uid="{32384FBE-AD3A-4247-B609-9D791C89655C}">
      <text>
        <r>
          <rPr>
            <b/>
            <sz val="9"/>
            <color indexed="81"/>
            <rFont val="Tahoma"/>
            <family val="2"/>
          </rPr>
          <t>Divyanshu Vatsa:</t>
        </r>
        <r>
          <rPr>
            <sz val="9"/>
            <color indexed="81"/>
            <rFont val="Tahoma"/>
            <family val="2"/>
          </rPr>
          <t xml:space="preserve">
= Realization premium × FY25A coke production / 10^7</t>
        </r>
      </text>
    </comment>
    <comment ref="D52" authorId="0" shapeId="0" xr:uid="{A5D4820D-EB0E-4298-BDEA-64A3C69BFCFC}">
      <text>
        <r>
          <rPr>
            <b/>
            <sz val="9"/>
            <color indexed="81"/>
            <rFont val="Tahoma"/>
            <family val="2"/>
          </rPr>
          <t>Divyanshu Vatsa:</t>
        </r>
        <r>
          <rPr>
            <sz val="9"/>
            <color indexed="81"/>
            <rFont val="Tahoma"/>
            <family val="2"/>
          </rPr>
          <t xml:space="preserve">
= FY25A COG Revenue + Coal Tar Revenue (same in both build and actual)</t>
        </r>
      </text>
    </comment>
    <comment ref="D55" authorId="0" shapeId="0" xr:uid="{A8515FA6-DC4E-4456-B9FF-7E11ACC6BE23}">
      <text>
        <r>
          <rPr>
            <b/>
            <sz val="9"/>
            <color indexed="81"/>
            <rFont val="Tahoma"/>
            <family val="2"/>
          </rPr>
          <t>Divyanshu Vatsa:</t>
        </r>
        <r>
          <rPr>
            <sz val="9"/>
            <color indexed="81"/>
            <rFont val="Tahoma"/>
            <family val="2"/>
          </rPr>
          <t xml:space="preserve">
Cross-check: should equal D51 (revenue impact of higher realization)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Divyanshu Vatsa</author>
  </authors>
  <commentList>
    <comment ref="D16" authorId="0" shapeId="0" xr:uid="{EFAC983A-868B-49AA-8DFB-AFCE62A51500}">
      <text>
        <r>
          <rPr>
            <b/>
            <sz val="9"/>
            <color indexed="81"/>
            <rFont val="Tahoma"/>
            <family val="2"/>
          </rPr>
          <t>Divyanshu Vatsa:</t>
        </r>
        <r>
          <rPr>
            <sz val="9"/>
            <color indexed="81"/>
            <rFont val="Tahoma"/>
            <family val="2"/>
          </rPr>
          <t xml:space="preserve">
Buildings depreciation = Gross Block × SL rate ($B$16). Single-source rate.</t>
        </r>
      </text>
    </comment>
    <comment ref="D18" authorId="0" shapeId="0" xr:uid="{AAE4A822-E610-4A2C-AE60-114406B944E2}">
      <text>
        <r>
          <rPr>
            <b/>
            <sz val="9"/>
            <color indexed="81"/>
            <rFont val="Tahoma"/>
            <family val="2"/>
          </rPr>
          <t>Divyanshu Vatsa:</t>
        </r>
        <r>
          <rPr>
            <sz val="9"/>
            <color indexed="81"/>
            <rFont val="Tahoma"/>
            <family val="2"/>
          </rPr>
          <t xml:space="preserve">
Furniture &amp; Fixtures depreciation = Gross Block × SL rate ($B$18). Single-source rate.</t>
        </r>
      </text>
    </comment>
    <comment ref="D19" authorId="0" shapeId="0" xr:uid="{09330348-9DDD-4066-A3F8-F476DEBA0064}">
      <text>
        <r>
          <rPr>
            <b/>
            <sz val="9"/>
            <color indexed="81"/>
            <rFont val="Tahoma"/>
            <family val="2"/>
          </rPr>
          <t>Divyanshu Vatsa:</t>
        </r>
        <r>
          <rPr>
            <sz val="9"/>
            <color indexed="81"/>
            <rFont val="Tahoma"/>
            <family val="2"/>
          </rPr>
          <t xml:space="preserve">
Office Equipment depreciation = Gross Block × SL rate ($B$19). Single-source rate.</t>
        </r>
      </text>
    </comment>
    <comment ref="D31" authorId="0" shapeId="0" xr:uid="{6EA35E2C-CBBA-4562-AF48-35442D5A305C}">
      <text>
        <r>
          <rPr>
            <b/>
            <sz val="9"/>
            <color indexed="81"/>
            <rFont val="Tahoma"/>
            <family val="2"/>
          </rPr>
          <t>Divyanshu Vatsa:</t>
        </r>
        <r>
          <rPr>
            <sz val="9"/>
            <color indexed="81"/>
            <rFont val="Tahoma"/>
            <family val="2"/>
          </rPr>
          <t xml:space="preserve">
IT Depreciation (WDV) = Buildings×$B$26 + (P&amp;M+Half-Year Capex)×$B$27 + F&amp;F×$B$28 + Office Equip×$B$29. Single-source WDV rates.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C6" authorId="0" shapeId="0" xr:uid="{00000000-0006-0000-1400-000001000000}">
      <text>
        <r>
          <rPr>
            <sz val="10"/>
            <rFont val="Arial"/>
            <family val="2"/>
          </rPr>
          <t>FY24 opening TL = FY23 closing LT Borrowings incl current portion, per Balance Sheet Summary J27.</t>
        </r>
      </text>
    </comment>
    <comment ref="D6" authorId="0" shapeId="0" xr:uid="{00000000-0006-0000-1400-000006000000}">
      <text>
        <r>
          <rPr>
            <sz val="10"/>
            <rFont val="Arial"/>
            <family val="2"/>
          </rPr>
          <t>FY25 opening TL = FY24 closing TL (roll-forward formula replaces prior hardcode).</t>
        </r>
      </text>
    </comment>
    <comment ref="C7" authorId="0" shapeId="0" xr:uid="{00000000-0006-0000-1400-000002000000}">
      <text>
        <r>
          <rPr>
            <sz val="10"/>
            <rFont val="Arial"/>
            <family val="2"/>
          </rPr>
          <t>FY24A net TL movement = FY24 close − FY23 close (inferred from BS Summary).</t>
        </r>
      </text>
    </comment>
    <comment ref="D7" authorId="0" shapeId="0" xr:uid="{00000000-0006-0000-1400-000007000000}">
      <text>
        <r>
          <rPr>
            <sz val="10"/>
            <rFont val="Arial"/>
            <family val="2"/>
          </rPr>
          <t>FY25A net TL movement. Hardcoded to historical actual of ₹(38.94) Cr per BS Summary. Negative = net repayment (scheduled repay exceeded new drawdown). Blue = input.</t>
        </r>
      </text>
    </comment>
    <comment ref="E7" authorId="0" shapeId="0" xr:uid="{00000000-0006-0000-1400-00000D000000}">
      <text>
        <r>
          <rPr>
            <sz val="10"/>
            <rFont val="Arial"/>
            <family val="2"/>
          </rPr>
          <t>Divyanshu Vatsa:
FY26E net TL movement: positive = drawdown. Input driven by management plan for Battery-2 funding. Blue = input.</t>
        </r>
      </text>
    </comment>
    <comment ref="F7" authorId="0" shapeId="0" xr:uid="{00000000-0006-0000-1400-000010000000}">
      <text>
        <r>
          <rPr>
            <sz val="10"/>
            <rFont val="Arial"/>
            <family val="2"/>
          </rPr>
          <t>Divyanshu Vatsa:
FY27E scheduled TL repayment per management plan. Input.</t>
        </r>
      </text>
    </comment>
    <comment ref="G7" authorId="0" shapeId="0" xr:uid="{00000000-0006-0000-1400-000013000000}">
      <text>
        <r>
          <rPr>
            <sz val="10"/>
            <rFont val="Arial"/>
            <family val="2"/>
          </rPr>
          <t>Divyanshu Vatsa:
FY28E scheduled TL repayment per management plan. Input.</t>
        </r>
      </text>
    </comment>
    <comment ref="H7" authorId="0" shapeId="0" xr:uid="{00000000-0006-0000-1400-000016000000}">
      <text>
        <r>
          <rPr>
            <sz val="10"/>
            <rFont val="Arial"/>
            <family val="2"/>
          </rPr>
          <t>Divyanshu Vatsa:
FY29E scheduled TL repayment per management plan. Input.</t>
        </r>
      </text>
    </comment>
    <comment ref="C8" authorId="0" shapeId="0" xr:uid="{00000000-0006-0000-1400-000003000000}">
      <text>
        <r>
          <rPr>
            <sz val="10"/>
            <rFont val="Arial"/>
            <family val="2"/>
          </rPr>
          <t>Divyanshu Vatsa:
FY24 closing TL incl current portion per BS Summary K27.</t>
        </r>
      </text>
    </comment>
    <comment ref="D8" authorId="0" shapeId="0" xr:uid="{00000000-0006-0000-1400-000008000000}">
      <text>
        <r>
          <rPr>
            <sz val="10"/>
            <rFont val="Arial"/>
            <family val="2"/>
          </rPr>
          <t>FY25 closing TL = Opening + Net Draw/(Repay). Roll-forward replaces prior hardcode.</t>
        </r>
      </text>
    </comment>
    <comment ref="D9" authorId="1" shapeId="0" xr:uid="{157D34C1-1B82-4AB0-B030-F920C3296563}">
      <text>
        <r>
          <rPr>
            <b/>
            <sz val="9"/>
            <color indexed="81"/>
            <rFont val="Tahoma"/>
            <family val="2"/>
          </rPr>
          <t>Divyanshu Vatsa:</t>
        </r>
        <r>
          <rPr>
            <sz val="9"/>
            <color indexed="81"/>
            <rFont val="Tahoma"/>
            <family val="2"/>
          </rPr>
          <t xml:space="preserve">
TL Interest = Avg balance × TL rate ($B$9). Single-source rate cell.</t>
        </r>
      </text>
    </comment>
    <comment ref="D12" authorId="0" shapeId="0" xr:uid="{00000000-0006-0000-1400-000009000000}">
      <text>
        <r>
          <rPr>
            <sz val="10"/>
            <rFont val="Arial"/>
            <family val="2"/>
          </rPr>
          <t>Divyanshu Vatsa:
FY25 opening BC = FY24 closing BC (roll-forward).</t>
        </r>
      </text>
    </comment>
    <comment ref="D13" authorId="0" shapeId="0" xr:uid="{00000000-0006-0000-1400-00000A000000}">
      <text>
        <r>
          <rPr>
            <sz val="10"/>
            <rFont val="Arial"/>
            <family val="2"/>
          </rPr>
          <t>Divyanshu Vatsa:
FY25A net BC movement. Hardcoded to historical actual of ₹113.75 Cr (net drawdown). Blue = input.</t>
        </r>
      </text>
    </comment>
    <comment ref="E13" authorId="0" shapeId="0" xr:uid="{00000000-0006-0000-1400-00000E000000}">
      <text>
        <r>
          <rPr>
            <sz val="10"/>
            <rFont val="Arial"/>
            <family val="2"/>
          </rPr>
          <t>Divyanshu Vatsa:
FY26E scheduled BC repayment. Input.</t>
        </r>
      </text>
    </comment>
    <comment ref="F13" authorId="0" shapeId="0" xr:uid="{00000000-0006-0000-1400-000011000000}">
      <text>
        <r>
          <rPr>
            <sz val="10"/>
            <rFont val="Arial"/>
            <family val="2"/>
          </rPr>
          <t>Divyanshu Vatsa:
FY27E scheduled BC repayment. Input.</t>
        </r>
      </text>
    </comment>
    <comment ref="G13" authorId="0" shapeId="0" xr:uid="{00000000-0006-0000-1400-000014000000}">
      <text>
        <r>
          <rPr>
            <sz val="10"/>
            <rFont val="Arial"/>
            <family val="2"/>
          </rPr>
          <t>FY28E scheduled BC repayment — fully extinguishes BC. Input.</t>
        </r>
      </text>
    </comment>
    <comment ref="H13" authorId="0" shapeId="0" xr:uid="{00000000-0006-0000-1400-000017000000}">
      <text>
        <r>
          <rPr>
            <sz val="10"/>
            <rFont val="Arial"/>
            <family val="2"/>
          </rPr>
          <t>Divyanshu Vatsa:
FY29E BC outstanding = 0 (fully repaid prior year). Input.</t>
        </r>
      </text>
    </comment>
    <comment ref="D14" authorId="0" shapeId="0" xr:uid="{00000000-0006-0000-1400-00000B000000}">
      <text>
        <r>
          <rPr>
            <sz val="10"/>
            <rFont val="Arial"/>
            <family val="2"/>
          </rPr>
          <t>Divyanshu Vatsa:
FY25 closing BC = Opening + Net Draw/(Repay).</t>
        </r>
      </text>
    </comment>
    <comment ref="D15" authorId="1" shapeId="0" xr:uid="{73C4A18B-EA54-4BA7-B051-00386280C294}">
      <text>
        <r>
          <rPr>
            <b/>
            <sz val="9"/>
            <color indexed="81"/>
            <rFont val="Tahoma"/>
            <family val="2"/>
          </rPr>
          <t>Divyanshu Vatsa:</t>
        </r>
        <r>
          <rPr>
            <sz val="9"/>
            <color indexed="81"/>
            <rFont val="Tahoma"/>
            <family val="2"/>
          </rPr>
          <t xml:space="preserve">
BC Interest = Avg balance × BC rate ($B$15). Single-source rate cell.</t>
        </r>
      </text>
    </comment>
    <comment ref="D19" authorId="1" shapeId="0" xr:uid="{D8D8280D-5BD3-4EBA-AB47-F0F4EF843349}">
      <text>
        <r>
          <rPr>
            <b/>
            <sz val="9"/>
            <color indexed="81"/>
            <rFont val="Tahoma"/>
            <family val="2"/>
          </rPr>
          <t>Divyanshu Vatsa:</t>
        </r>
        <r>
          <rPr>
            <sz val="9"/>
            <color indexed="81"/>
            <rFont val="Tahoma"/>
            <family val="2"/>
          </rPr>
          <t xml:space="preserve">
WC Interest = Outstanding × WC rate ($B$19). Single-source rate cell.</t>
        </r>
      </text>
    </comment>
    <comment ref="C21" authorId="0" shapeId="0" xr:uid="{00000000-0006-0000-1400-000004000000}">
      <text>
        <r>
          <rPr>
            <sz val="10"/>
            <rFont val="Arial"/>
            <family val="2"/>
          </rPr>
          <t>Divyanshu Vatsa:
FY24A bank charges not separately reported in historical data. Set to 0.</t>
        </r>
      </text>
    </comment>
    <comment ref="D21" authorId="0" shapeId="0" xr:uid="{00000000-0006-0000-1400-00000C000000}">
      <text>
        <r>
          <rPr>
            <sz val="10"/>
            <rFont val="Arial"/>
            <family val="2"/>
          </rPr>
          <t>Divyanshu Vatsa:
FY25A bank charges per management accounts. Higher due to new facility processing fees. Blue = input.</t>
        </r>
      </text>
    </comment>
    <comment ref="E21" authorId="0" shapeId="0" xr:uid="{00000000-0006-0000-1400-00000F000000}">
      <text>
        <r>
          <rPr>
            <sz val="10"/>
            <rFont val="Arial"/>
            <family val="2"/>
          </rPr>
          <t>FY26E: One-time processing fees for ₹316 Cr TL refinancing. Source: Mentor benchmark.</t>
        </r>
      </text>
    </comment>
    <comment ref="F21" authorId="0" shapeId="0" xr:uid="{00000000-0006-0000-1400-000012000000}">
      <text>
        <r>
          <rPr>
            <sz val="10"/>
            <rFont val="Arial"/>
            <family val="2"/>
          </rPr>
          <t>FY27E: Residual facility charges post-TL disbursement.</t>
        </r>
      </text>
    </comment>
    <comment ref="G21" authorId="0" shapeId="0" xr:uid="{00000000-0006-0000-1400-000015000000}">
      <text>
        <r>
          <rPr>
            <sz val="10"/>
            <rFont val="Arial"/>
            <family val="2"/>
          </rPr>
          <t>Divyanshu Vatsa:
FY28E bank charges. Blue = input.</t>
        </r>
      </text>
    </comment>
    <comment ref="H21" authorId="0" shapeId="0" xr:uid="{00000000-0006-0000-1400-000018000000}">
      <text>
        <r>
          <rPr>
            <sz val="10"/>
            <rFont val="Arial"/>
            <family val="2"/>
          </rPr>
          <t>Divyanshu Vatsa:
FY29E bank charges. Blue = input.</t>
        </r>
      </text>
    </comment>
    <comment ref="C25" authorId="0" shapeId="0" xr:uid="{00000000-0006-0000-1400-000005000000}">
      <text>
        <r>
          <rPr>
            <sz val="10"/>
            <rFont val="Arial"/>
            <family val="2"/>
          </rPr>
          <t>Divyanshu Vatsa:
Total Finance Cost = TL Interest + BC Interest + WC Interest + Bank Charges. Now includes bank charges for full P&amp;L finance cost.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Divyanshu Vatsa</author>
  </authors>
  <commentList>
    <comment ref="D7" authorId="0" shapeId="0" xr:uid="{271963C0-D049-4567-B648-96C8AE112B22}">
      <text>
        <r>
          <rPr>
            <b/>
            <sz val="9"/>
            <color indexed="81"/>
            <rFont val="Tahoma"/>
            <family val="2"/>
          </rPr>
          <t>Divyanshu Vatsa:</t>
        </r>
        <r>
          <rPr>
            <sz val="9"/>
            <color indexed="81"/>
            <rFont val="Tahoma"/>
            <family val="2"/>
          </rPr>
          <t xml:space="preserve">
FY26E TL drawdown for Battery-2 refinancing. Net Draw/Repay in row 6 above is the net figure.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Divyanshu Vatsa</author>
  </authors>
  <commentList>
    <comment ref="A15" authorId="0" shapeId="0" xr:uid="{00000000-0006-0000-1600-000001000000}">
      <text>
        <r>
          <rPr>
            <sz val="10"/>
            <rFont val="Arial"/>
            <family val="2"/>
          </rPr>
          <t>Divyanshu Vatsa:
Scheduled principal repayment on Term Loan + Buyers Credit from Debt Schedule. In Debt Schedule rows 7 &amp; 13, positive = drawdown / negative = repayment, so repayment = MAX(0, -(net draw/repay)).</t>
        </r>
      </text>
    </comment>
    <comment ref="L19" authorId="1" shapeId="0" xr:uid="{111F8907-A09E-4E55-B2B5-ACB37C8EC53D}">
      <text>
        <r>
          <rPr>
            <b/>
            <sz val="9"/>
            <color indexed="81"/>
            <rFont val="Tahoma"/>
            <family val="2"/>
          </rPr>
          <t>Divyanshu Vatsa:</t>
        </r>
        <r>
          <rPr>
            <sz val="9"/>
            <color indexed="81"/>
            <rFont val="Tahoma"/>
            <family val="2"/>
          </rPr>
          <t xml:space="preserve">
DSCR minimum threshold (≥1.20x). Single-source covenant value referenced by C26:K26.</t>
        </r>
      </text>
    </comment>
    <comment ref="L20" authorId="1" shapeId="0" xr:uid="{A6E9A59B-483D-43A7-8A15-DA2956A12437}">
      <text>
        <r>
          <rPr>
            <b/>
            <sz val="9"/>
            <color indexed="81"/>
            <rFont val="Tahoma"/>
            <family val="2"/>
          </rPr>
          <t>Divyanshu Vatsa:</t>
        </r>
        <r>
          <rPr>
            <sz val="9"/>
            <color indexed="81"/>
            <rFont val="Tahoma"/>
            <family val="2"/>
          </rPr>
          <t xml:space="preserve">
ISCR minimum threshold (≥3.00x). Single-source covenant value referenced by C27:K27.</t>
        </r>
      </text>
    </comment>
    <comment ref="L21" authorId="1" shapeId="0" xr:uid="{84231AE4-CDB9-415E-B428-A0BBB50746EE}">
      <text>
        <r>
          <rPr>
            <b/>
            <sz val="9"/>
            <color indexed="81"/>
            <rFont val="Tahoma"/>
            <family val="2"/>
          </rPr>
          <t>Divyanshu Vatsa:</t>
        </r>
        <r>
          <rPr>
            <sz val="9"/>
            <color indexed="81"/>
            <rFont val="Tahoma"/>
            <family val="2"/>
          </rPr>
          <t xml:space="preserve">
FACR minimum threshold (≥1.25x). Single-source covenant value referenced by C28:K28.</t>
        </r>
      </text>
    </comment>
    <comment ref="L22" authorId="1" shapeId="0" xr:uid="{4CA842A0-DB59-4B6E-9D43-A332C3CB1E61}">
      <text>
        <r>
          <rPr>
            <b/>
            <sz val="9"/>
            <color indexed="81"/>
            <rFont val="Tahoma"/>
            <family val="2"/>
          </rPr>
          <t>Divyanshu Vatsa:</t>
        </r>
        <r>
          <rPr>
            <sz val="9"/>
            <color indexed="81"/>
            <rFont val="Tahoma"/>
            <family val="2"/>
          </rPr>
          <t xml:space="preserve">
Total Debt / EBITDA maximum threshold (≤3.50x). Single-source covenant value referenced by C29:K29.</t>
        </r>
      </text>
    </comment>
    <comment ref="L23" authorId="1" shapeId="0" xr:uid="{E9021752-310A-4BEB-BCFB-E22C3C2DB23F}">
      <text>
        <r>
          <rPr>
            <b/>
            <sz val="9"/>
            <color indexed="81"/>
            <rFont val="Tahoma"/>
            <family val="2"/>
          </rPr>
          <t>Divyanshu Vatsa:</t>
        </r>
        <r>
          <rPr>
            <sz val="9"/>
            <color indexed="81"/>
            <rFont val="Tahoma"/>
            <family val="2"/>
          </rPr>
          <t xml:space="preserve">
Net Debt / TNW maximum threshold (≤2.00x). Single-source covenant value referenced by C30:K30.</t>
        </r>
      </text>
    </comment>
  </commentList>
</comments>
</file>

<file path=xl/sharedStrings.xml><?xml version="1.0" encoding="utf-8"?>
<sst xmlns="http://schemas.openxmlformats.org/spreadsheetml/2006/main" count="1922" uniqueCount="1397">
  <si>
    <t>Jindal Coke Ltd. — Model Integrity Checks</t>
  </si>
  <si>
    <t>Automated PASS / FAIL tests. Red = requires attention.</t>
  </si>
  <si>
    <t>#</t>
  </si>
  <si>
    <t>Check Description</t>
  </si>
  <si>
    <t>Status</t>
  </si>
  <si>
    <t>Detail / Formula</t>
  </si>
  <si>
    <t>1. BALANCE SHEET CHECKS</t>
  </si>
  <si>
    <t>BS Balance: Total Assets = Total E+L (FY24A)</t>
  </si>
  <si>
    <t>BS Balance: Total Assets = Total E+L (FY25A)</t>
  </si>
  <si>
    <t>BS Balance: Total Assets = Total E+L (FY26E)</t>
  </si>
  <si>
    <t>BS Balance: Total Assets = Total E+L (FY27E)</t>
  </si>
  <si>
    <t>BS Balance: Total Assets = Total E+L (FY28E)</t>
  </si>
  <si>
    <t>BS Balance: Total Assets = Total E+L (FY29E)</t>
  </si>
  <si>
    <t>BS Balance: Historical FS FY25A (Assets - E+L)</t>
  </si>
  <si>
    <t>2. CASH FLOW CHECKS</t>
  </si>
  <si>
    <t>Historical CF: Closing Cash = BS Cash (FY25A)</t>
  </si>
  <si>
    <t>3-Stmt CF: Closing Cash = BS Cash (FY26E)</t>
  </si>
  <si>
    <t>3-Stmt CF: Closing Cash = BS Cash (FY27E)</t>
  </si>
  <si>
    <t>3-Stmt CF: Closing Cash = BS Cash (FY28E)</t>
  </si>
  <si>
    <t>3-Stmt CF: Closing Cash = BS Cash (FY29E)</t>
  </si>
  <si>
    <t>3. DEBT SCHEDULE CHECKS</t>
  </si>
  <si>
    <t>Debt Roll-Forward: TL Opening + Draw = Closing (FY25A)</t>
  </si>
  <si>
    <t>Debt Roll-Forward: TL Opening + Draw = Closing (FY26E)</t>
  </si>
  <si>
    <t>Debt Roll-Forward: TL Opening + Draw = Closing (FY27E)</t>
  </si>
  <si>
    <t>Debt Roll-Forward: TL Opening + Draw = Closing (FY28E)</t>
  </si>
  <si>
    <t>Debt Roll-Forward: TL Opening + Draw = Closing (FY29E)</t>
  </si>
  <si>
    <t>Revolver Roll-Forward (FY26E)</t>
  </si>
  <si>
    <t>Revolver Roll-Forward (FY27E)</t>
  </si>
  <si>
    <t>Revolver Roll-Forward (FY28E)</t>
  </si>
  <si>
    <t>Revolver Roll-Forward (FY29E)</t>
  </si>
  <si>
    <t>4. DEPRECIATION LINKAGE</t>
  </si>
  <si>
    <t>Depreciation: Schedule = 3-Stmt P&amp;L (FY26E)</t>
  </si>
  <si>
    <t>Depreciation: Schedule = 3-Stmt P&amp;L (FY27E)</t>
  </si>
  <si>
    <t>Depreciation: Schedule = 3-Stmt P&amp;L (FY28E)</t>
  </si>
  <si>
    <t>Depreciation: Schedule = 3-Stmt P&amp;L (FY29E)</t>
  </si>
  <si>
    <t>5. REVENUE CONSISTENCY</t>
  </si>
  <si>
    <t>Revenue: Dashboard = 3-Stmt (FY25A)</t>
  </si>
  <si>
    <t>Revenue: Dashboard = 3-Stmt (FY26E)</t>
  </si>
  <si>
    <t>Revenue: Dashboard = 3-Stmt (FY27E)</t>
  </si>
  <si>
    <t>Revenue: Dashboard = 3-Stmt (FY28E)</t>
  </si>
  <si>
    <t>Revenue: Dashboard = 3-Stmt (FY29E)</t>
  </si>
  <si>
    <t>6. INTEREST EXPENSE LINKAGE</t>
  </si>
  <si>
    <t>Interest: Debt Schedule = 3-Stmt (FY26E)</t>
  </si>
  <si>
    <t>Interest: Debt Schedule = 3-Stmt (FY27E)</t>
  </si>
  <si>
    <t>Interest: Debt Schedule = 3-Stmt (FY28E)</t>
  </si>
  <si>
    <t>Interest: Debt Schedule = 3-Stmt (FY29E)</t>
  </si>
  <si>
    <t>7. FORECAST CONTINUITY</t>
  </si>
  <si>
    <t>FY25A→FY26E Revenue growth is reasonable (&lt;50%)</t>
  </si>
  <si>
    <t>FY26E EBITDA margin within 5-30% range</t>
  </si>
  <si>
    <t>Note: Open in Excel → select column C → apply Conditional Formatting: "PASS" = green, "FAIL" = red.</t>
  </si>
  <si>
    <t>Scenario Engine</t>
  </si>
  <si>
    <t>Select a scenario below. All projection sheets, DCF, and Dashboard cascade automatically.</t>
  </si>
  <si>
    <t>Active Scenario:</t>
  </si>
  <si>
    <t>Base</t>
  </si>
  <si>
    <t>← Change this cell (dropdown)</t>
  </si>
  <si>
    <t>1. COST &amp; PROFITABILITY DRIVERS</t>
  </si>
  <si>
    <t>Driver</t>
  </si>
  <si>
    <t>Bull</t>
  </si>
  <si>
    <t>Bear</t>
  </si>
  <si>
    <t>Rationale</t>
  </si>
  <si>
    <t>COGS (% of Net Sales)</t>
  </si>
  <si>
    <t>Bull: favorable coal spreads; Bear: input cost squeeze</t>
  </si>
  <si>
    <t>Employee Benefit Exp (% Sales)</t>
  </si>
  <si>
    <t>Operating leverage on employee costs</t>
  </si>
  <si>
    <t>SG&amp;A Expenses (% Sales)</t>
  </si>
  <si>
    <t>Fixed cost dilution at scale vs. cost inflation</t>
  </si>
  <si>
    <t>Assumed USD/INR Rate</t>
  </si>
  <si>
    <t>Bull: strong INR; Bear: 5-7% depreciation from base</t>
  </si>
  <si>
    <t>Coking Coal (USD/MT)</t>
  </si>
  <si>
    <t>Bull: low coal cost ($150); Base: mid-cycle ($170); Bear: squeeze ($210/MT)</t>
  </si>
  <si>
    <t>Consumption Ratio (MT coal / MT coke)</t>
  </si>
  <si>
    <t>Industry standard: ~1.35-1.45x yield loss in coke conversion</t>
  </si>
  <si>
    <t>Domestic Processing Cost (₹/MT)</t>
  </si>
  <si>
    <t>Bull: efficient ops (₹8,000/MT); Base: ₹8,470/MT; Bear: cost inflation (₹9,000/MT)</t>
  </si>
  <si>
    <t>Domestic Cost Inflation (%)</t>
  </si>
  <si>
    <t>Annual escalation on domestic conversion, power, freight costs</t>
  </si>
  <si>
    <t>2. WORKING CAPITAL DRIVERS</t>
  </si>
  <si>
    <t>Debtor Days</t>
  </si>
  <si>
    <t>Bull: JSL group collections faster; Bear: delayed payments</t>
  </si>
  <si>
    <t>Inventory Days</t>
  </si>
  <si>
    <t>Bear: coal supply chain disruptions, longer buffer needed</t>
  </si>
  <si>
    <t>Payable Days</t>
  </si>
  <si>
    <t>Bull: better supplier terms; Bear: tighter credit</t>
  </si>
  <si>
    <t>3. CAPEX &amp; DEPRECIATION</t>
  </si>
  <si>
    <t>4. FINANCING DRIVERS</t>
  </si>
  <si>
    <t>Interest Rate on Debt (%)</t>
  </si>
  <si>
    <t>Bull: rate easing (RBI cuts); Bear: tighter credit</t>
  </si>
  <si>
    <t>5. DCF / WACC ASSUMPTIONS</t>
  </si>
  <si>
    <t>Terminal Growth Rate (g)</t>
  </si>
  <si>
    <t>Bull: secular India growth; Bear: global steel downcycle</t>
  </si>
  <si>
    <t>Unlevered Beta (βu)</t>
  </si>
  <si>
    <t>Bear: higher systematic risk in downcycle</t>
  </si>
  <si>
    <t>Pre-tax Cost of Debt</t>
  </si>
  <si>
    <t>Same as financing driver above — flows to WACC</t>
  </si>
  <si>
    <t>LIVE OUTPUT (cascaded from active scenario)</t>
  </si>
  <si>
    <t>WACC</t>
  </si>
  <si>
    <t>Implied EV (₹ Cr)</t>
  </si>
  <si>
    <t>Terminal g</t>
  </si>
  <si>
    <t>Equity Value (₹ Cr)</t>
  </si>
  <si>
    <t>Net Sales FY25A</t>
  </si>
  <si>
    <t>Intrinsic Value / Share (₹)</t>
  </si>
  <si>
    <t>7. MENTOR-ALIGNED DRIVERS (added Nov 2025)</t>
  </si>
  <si>
    <t>COB-1 Installed Capacity (MT)</t>
  </si>
  <si>
    <t>Fixed existing battery capacity (0.429 MTPA)</t>
  </si>
  <si>
    <t>COB-2 Installed Capacity (MT)</t>
  </si>
  <si>
    <t>COB-1 Utilization % (flat)</t>
  </si>
  <si>
    <t>COB-2 Util FY25A</t>
  </si>
  <si>
    <t>COB-2 Util FY26E</t>
  </si>
  <si>
    <t>COB-2 Util FY27E</t>
  </si>
  <si>
    <t>COB-2 Util FY28E/29E</t>
  </si>
  <si>
    <t>Coke Realization (₹/MT)</t>
  </si>
  <si>
    <t>Mentor base ₹27,000 (conservative, post FY22/23 peak). Was ₹35,000 in prior model</t>
  </si>
  <si>
    <t>Coke Price Growth (YoY %)</t>
  </si>
  <si>
    <t>COG Yield (Nm³ / MT coke)</t>
  </si>
  <si>
    <t>Coke oven gas by-product yield. Mentor implied ~222 Nm³/MT</t>
  </si>
  <si>
    <t>COG Price (₹/Nm³)</t>
  </si>
  <si>
    <t>Mentor: ₹19.44/Nm³</t>
  </si>
  <si>
    <t>Coal Tar Yield (% of coke)</t>
  </si>
  <si>
    <t>Mentor: 3.78% yield</t>
  </si>
  <si>
    <t>Coal Tar Price (₹/MT)</t>
  </si>
  <si>
    <t>CDQ Cost Saving (₹ Cr/year, steady)</t>
  </si>
  <si>
    <t>Mentor: 12 MW captive power benefit. 57 Cr theoretical, used at ~80%</t>
  </si>
  <si>
    <t>Buyers Credit Opening (₹ Cr)</t>
  </si>
  <si>
    <t>FY24 closing buyers credit balance from BSS</t>
  </si>
  <si>
    <t>IT Depreciation Rate - P&amp;M (%)</t>
  </si>
  <si>
    <t>Income Tax WDV rate on plant &amp; machinery (Section 32)</t>
  </si>
  <si>
    <t>IT Depreciation Rate - Buildings (%)</t>
  </si>
  <si>
    <t>Income Tax WDV rate on buildings</t>
  </si>
  <si>
    <t>MAT Rate (%)</t>
  </si>
  <si>
    <t>MAT @ 15% + 10% surcharge + 4% H&amp;E cess = 17.472%</t>
  </si>
  <si>
    <t>Opening Unabsorbed Depreciation (₹ Cr)</t>
  </si>
  <si>
    <t>Set to 0 unless JCL has opening tax losses. Mentor uses 36.26</t>
  </si>
  <si>
    <t>8. ANNUAL TAPER RATES (drive COGS% and WC Days cascade in Assumptions)</t>
  </si>
  <si>
    <t>Debtor Days — Annual Taper</t>
  </si>
  <si>
    <t>Bull: group collection discipline; Bear: slippage</t>
  </si>
  <si>
    <t>Inventory Days — Annual Taper</t>
  </si>
  <si>
    <t>Bull: supply chain optimization; Bear: longer buffer</t>
  </si>
  <si>
    <t>Debtor Days — Floor</t>
  </si>
  <si>
    <t>Minimum collection period floor</t>
  </si>
  <si>
    <t>Inventory Days — Floor</t>
  </si>
  <si>
    <t>Minimum inventory buffer floor</t>
  </si>
  <si>
    <t>All figures in ₹ Crores unless stated otherwise  |  FY ends March 31</t>
  </si>
  <si>
    <t>1. KEY FINANCIAL SUMMARY</t>
  </si>
  <si>
    <t>Metric</t>
  </si>
  <si>
    <t>FY24A</t>
  </si>
  <si>
    <t>FY25A</t>
  </si>
  <si>
    <t>FY26E</t>
  </si>
  <si>
    <t>FY27E</t>
  </si>
  <si>
    <t>FY28E</t>
  </si>
  <si>
    <t>FY29E</t>
  </si>
  <si>
    <t>Net Sales (₹ Cr)</t>
  </si>
  <si>
    <t>EBITDA Margin (%)</t>
  </si>
  <si>
    <t>Net Profit (₹ Cr)</t>
  </si>
  <si>
    <t>Total Debt (₹ Cr)</t>
  </si>
  <si>
    <t>ROCE (%)</t>
  </si>
  <si>
    <t>1b. MACRO &amp; FOREX SENSITIVITY</t>
  </si>
  <si>
    <t>n/a</t>
  </si>
  <si>
    <t>2. PERFORMANCE CHARTS</t>
  </si>
  <si>
    <t>3. DCF VALUATION OUTPUT</t>
  </si>
  <si>
    <t>Implied Intrinsic Value per Share</t>
  </si>
  <si>
    <t>WACC:</t>
  </si>
  <si>
    <t>Terminal g:</t>
  </si>
  <si>
    <t>CHART DATA — DO NOT EDIT</t>
  </si>
  <si>
    <t>Chart 1: Revenue &amp; Growth</t>
  </si>
  <si>
    <t>Revenue (₹ Cr)</t>
  </si>
  <si>
    <t>YoY Growth (%)</t>
  </si>
  <si>
    <t>Chart 2: Margin Expansion</t>
  </si>
  <si>
    <t>Gross Margin</t>
  </si>
  <si>
    <t>EBITDA Margin</t>
  </si>
  <si>
    <t>Net Margin</t>
  </si>
  <si>
    <t>Chart 3: Debt vs Cash (Deleveraging)</t>
  </si>
  <si>
    <t>Total Debt</t>
  </si>
  <si>
    <t>Cash &amp; Bank Balance</t>
  </si>
  <si>
    <t>Net Debt</t>
  </si>
  <si>
    <t>Chart 4: Valuation Football Field</t>
  </si>
  <si>
    <t>Low (₹)</t>
  </si>
  <si>
    <t>Base - Low</t>
  </si>
  <si>
    <t>High - Base</t>
  </si>
  <si>
    <t>Moderate Bear</t>
  </si>
  <si>
    <t>Base Case</t>
  </si>
  <si>
    <t>Moderate Bull</t>
  </si>
  <si>
    <t>4. SCENARIO TOGGLE</t>
  </si>
  <si>
    <t>← Change via dropdown on 'Scenario Engine' sheet → cell B3</t>
  </si>
  <si>
    <t>Bull = Optimistic assumptions  |  Base = Current model  |  Bear = Conservative / downside</t>
  </si>
  <si>
    <t>How it works:</t>
  </si>
  <si>
    <t>1. The 'Scenario Engine' sheet contains Bull / Base / Bear values for all key drivers (capacity utilization, COGS %, realization, capex, terminal growth, beta, etc.).</t>
  </si>
  <si>
    <t>2. The 'Assumptions &amp; Drivers' sheet reads the active scenario via INDEX/MATCH formulas linked to the Scenario Engine toggle.</t>
  </si>
  <si>
    <t>5. INVESTMENT THESIS</t>
  </si>
  <si>
    <t>The Capacity Story</t>
  </si>
  <si>
    <t>The Efficiency Story</t>
  </si>
  <si>
    <t>The Deleveraging Story</t>
  </si>
  <si>
    <t>Scenario-Specific Risk Commentary</t>
  </si>
  <si>
    <t>6. LENDER-STYLE COVENANT METRICS (Added Nov 2025)</t>
  </si>
  <si>
    <t>Covenant</t>
  </si>
  <si>
    <t>DSCR (Gross)</t>
  </si>
  <si>
    <t>≥ 1.20x</t>
  </si>
  <si>
    <t>ISCR (EBITDA / Interest)</t>
  </si>
  <si>
    <t>≥ 3.0x</t>
  </si>
  <si>
    <t>FACR (Net Block / Secured Debt)</t>
  </si>
  <si>
    <t>≥ 1.25x</t>
  </si>
  <si>
    <t>Total Debt / EBITDA</t>
  </si>
  <si>
    <t>≤ 3.5x</t>
  </si>
  <si>
    <t>Net Debt / EBITDA</t>
  </si>
  <si>
    <t>≤ 2.5x</t>
  </si>
  <si>
    <t>Net Debt / Tangible Net Worth</t>
  </si>
  <si>
    <t>≤ 2.0x</t>
  </si>
  <si>
    <t>Current Ratio (CA/CL)</t>
  </si>
  <si>
    <t>≥ 1.00x</t>
  </si>
  <si>
    <t>Return on Equity (%)</t>
  </si>
  <si>
    <t>—</t>
  </si>
  <si>
    <t>Return on Assets (%)</t>
  </si>
  <si>
    <t>Net WC Cycle (Days)</t>
  </si>
  <si>
    <t>Years</t>
  </si>
  <si>
    <t>Formula Reference</t>
  </si>
  <si>
    <t>Income Statement</t>
  </si>
  <si>
    <t>Net Sales</t>
  </si>
  <si>
    <t>Net Sales = Industrial Sales + Income from Non-Financial Services - Indirect Taxes</t>
  </si>
  <si>
    <t>Sales Growth</t>
  </si>
  <si>
    <t>-</t>
  </si>
  <si>
    <t>Sales Growth = (Net Sales / Prior Year Net Sales) - 1</t>
  </si>
  <si>
    <t>COGS</t>
  </si>
  <si>
    <t>COGS = Total Operating Expenses - Employee Benefit - Indirect Taxes - SG&amp;A Items - Change in Stock</t>
  </si>
  <si>
    <t>COGS % Sales</t>
  </si>
  <si>
    <t>COGS % Sales = COGS / Net Sales</t>
  </si>
  <si>
    <t>Gross Profit</t>
  </si>
  <si>
    <t>Gross Profit = Net Sales - COGS</t>
  </si>
  <si>
    <t>Gross Profit Margin</t>
  </si>
  <si>
    <t>Gross Profit Margin = Gross Profit / Net Sales</t>
  </si>
  <si>
    <t>Employee Benefit Expenses</t>
  </si>
  <si>
    <t>Employee Benefit Expenses = Sourced from I&amp;E Summary (Compensation to Employees)</t>
  </si>
  <si>
    <t>Employee Benefit Exp % Sales</t>
  </si>
  <si>
    <t>Employee Benefit Exp % Sales = Employee Benefit Expenses / Net Sales</t>
  </si>
  <si>
    <t>Selling, General &amp; Admin Expenses</t>
  </si>
  <si>
    <t>SG&amp;A Expenses = Rent + Repairs + Insurance + Professional Fees + Directors Fees + Selling &amp; Distribution + Travel + Communications + Miscellaneous + Other Operational</t>
  </si>
  <si>
    <t>S,G&amp;A % Sales</t>
  </si>
  <si>
    <t>SG&amp;A % Sales = SG&amp;A Expenses / Net Sales</t>
  </si>
  <si>
    <t>EBITDA</t>
  </si>
  <si>
    <t>EBITDA = Gross Profit - Employee Benefit Expenses - SG&amp;A Expenses</t>
  </si>
  <si>
    <t>EBITDA Margin = EBITDA / Net Sales</t>
  </si>
  <si>
    <t>Depreciation</t>
  </si>
  <si>
    <t>Depreciation = Sourced from I&amp;E Summary (Depreciation under Non-Cash Charges)</t>
  </si>
  <si>
    <t>Depreciation % Sales</t>
  </si>
  <si>
    <t>Depreciation % Sales = Depreciation / Net Sales</t>
  </si>
  <si>
    <t>EBIT</t>
  </si>
  <si>
    <t>EBIT = EBITDA - Depreciation</t>
  </si>
  <si>
    <t>EBIT Margin</t>
  </si>
  <si>
    <t>EBIT Margin = EBIT / Net Sales</t>
  </si>
  <si>
    <t>Finance Costs</t>
  </si>
  <si>
    <t>Finance Costs = Fee Based Financial Services Expenses + Fund Based Financial Services Expenses</t>
  </si>
  <si>
    <t>Finance Costs % Sales</t>
  </si>
  <si>
    <t>Finance Costs % Sales = Finance Costs / Net Sales</t>
  </si>
  <si>
    <t>Other income</t>
  </si>
  <si>
    <t>Other Income = Income from Financial Services + Other Income</t>
  </si>
  <si>
    <t>Other Income % Sales</t>
  </si>
  <si>
    <t>Other Income % Sales = Other Income / Net Sales</t>
  </si>
  <si>
    <t>Net Extraordinary Items</t>
  </si>
  <si>
    <t>Net Extraordinary Items = Prior Period &amp; Extraordinary Income - Prior Period &amp; Extraordinary Expenses</t>
  </si>
  <si>
    <t>Profit Before Tax</t>
  </si>
  <si>
    <t>Profit Before Tax = EBIT + Other Income + Net Extraordinary Items - Finance Costs</t>
  </si>
  <si>
    <t>PBT % Sales</t>
  </si>
  <si>
    <t>PBT % Sales = Profit Before Tax / Net Sales</t>
  </si>
  <si>
    <t>Provision for Direct Tax</t>
  </si>
  <si>
    <t>Provision for Direct Tax = Sourced from I&amp;E Summary (Provision for Direct Tax)</t>
  </si>
  <si>
    <t>Profit After Tax</t>
  </si>
  <si>
    <t>Profit After Tax = Profit Before Tax - Provision for Direct Tax</t>
  </si>
  <si>
    <t>Net Income Margin</t>
  </si>
  <si>
    <t>Net Income Margin = Profit After Tax / Net Sales</t>
  </si>
  <si>
    <t>Check: PAT (HFS vs I&amp;E)</t>
  </si>
  <si>
    <t>Balance Sheet</t>
  </si>
  <si>
    <t>Equity &amp; Liabilities</t>
  </si>
  <si>
    <t>Equity</t>
  </si>
  <si>
    <t>Share Capital</t>
  </si>
  <si>
    <t>Reserves &amp; Surplus</t>
  </si>
  <si>
    <t>Total Equity</t>
  </si>
  <si>
    <t>Share Capital + Reserves and Surplus</t>
  </si>
  <si>
    <t>Non-Current Liabilities</t>
  </si>
  <si>
    <t>LT Borrowings (excl. current portion)</t>
  </si>
  <si>
    <t>Deferred Tax Liability</t>
  </si>
  <si>
    <t>Long-term Provisions</t>
  </si>
  <si>
    <t>Total Non-Current Liabilities</t>
  </si>
  <si>
    <t>LT Borrowings + Deferred Tax Liability + LT Provisions</t>
  </si>
  <si>
    <t>Current Liabilities</t>
  </si>
  <si>
    <t>Short-term Borrowings</t>
  </si>
  <si>
    <t>Trade Payables &amp; Acceptances</t>
  </si>
  <si>
    <t>Other Current Liabilities</t>
  </si>
  <si>
    <t>From Balance Sheet Summary: Total CL (row 39) minus ST Borrowings minus Trade Payables</t>
  </si>
  <si>
    <t>Total Current Liabilities</t>
  </si>
  <si>
    <t>ST Borrowings + Trade Payables + Other Current Liabilities</t>
  </si>
  <si>
    <t xml:space="preserve">Total Liabilities </t>
  </si>
  <si>
    <t>Total Non-Current Liabilities + Total Current Liabilities</t>
  </si>
  <si>
    <t>Total Equity + Liabilities</t>
  </si>
  <si>
    <t>Total Equity + Total Non-Current Liabilities + Total Current Liabilities</t>
  </si>
  <si>
    <t>Assets</t>
  </si>
  <si>
    <t>Non-Current Assets</t>
  </si>
  <si>
    <t>Net Fixed Assets</t>
  </si>
  <si>
    <t>Capital Work-in-Progress</t>
  </si>
  <si>
    <t>Long-term Investments</t>
  </si>
  <si>
    <t>Long-term Loans &amp; Advances</t>
  </si>
  <si>
    <t>Other Long-term Assets (incl. DTA)</t>
  </si>
  <si>
    <t>From Balance Sheet Summary: DTA (row 58) + Other LT Assets (row 59)</t>
  </si>
  <si>
    <t>Total Non-Current Assets</t>
  </si>
  <si>
    <t>Net Fixed Assets + CWIP + LT Investments + LT Loans + Other LT Assets</t>
  </si>
  <si>
    <t>Current Assets</t>
  </si>
  <si>
    <t>Inventories</t>
  </si>
  <si>
    <t>Trade Receivables</t>
  </si>
  <si>
    <t>Other Current Assets</t>
  </si>
  <si>
    <t xml:space="preserve">From Balance Sheet Summary: Total CA (row 61) minus Inventories, Receivables, Cash, ST Loans and Investments </t>
  </si>
  <si>
    <t>ST Loans, Advances &amp; Investments</t>
  </si>
  <si>
    <t>From Balance Sheet Summary: ST Investments (row 65) + ST Loans and Advances (row 66)</t>
  </si>
  <si>
    <t>Total Current Assets</t>
  </si>
  <si>
    <t>Inventories + Trade Receivables + Cash &amp; Bank + Other CA + ST Loans &amp; Investments</t>
  </si>
  <si>
    <t>Total Assets</t>
  </si>
  <si>
    <t>Total Non-Current Assets + Total Current Assets</t>
  </si>
  <si>
    <t>Balance Check (Assets - E+L)</t>
  </si>
  <si>
    <t>Balance Check = Total Assets - (Total Equity + Total Liabilities)  →  must = 0.00</t>
  </si>
  <si>
    <t>BSS Cross-Check</t>
  </si>
  <si>
    <t>Verifies Total E+L (row 72) vs Balance Sheet Summary Total Liabilities (row 8) — independent of HFS balance check</t>
  </si>
  <si>
    <t>Cash Flow Statement</t>
  </si>
  <si>
    <t>Cash Flow from Operating Activities (CFO)</t>
  </si>
  <si>
    <t>Profit After Tax (PAT)</t>
  </si>
  <si>
    <t>Add: Depreciation</t>
  </si>
  <si>
    <t>Change in Deferred Tax Liability</t>
  </si>
  <si>
    <t>= Deferred Tax Liability (Current Year) - Deferred Tax Liability (Prior Year)</t>
  </si>
  <si>
    <t>Change in Long-term Provisions</t>
  </si>
  <si>
    <t>= Long-term Provisions (Current Year) - Long-term Provisions (Prior Year)</t>
  </si>
  <si>
    <t>Changes in Working Capital:</t>
  </si>
  <si>
    <t xml:space="preserve">  Change in Inventories</t>
  </si>
  <si>
    <t>= Inventories (Prior Year) - Inventories (Current Year)</t>
  </si>
  <si>
    <t xml:space="preserve">  Change in Trade Receivables</t>
  </si>
  <si>
    <t>= Trade Receivables (Prior Year) - Trade Receivables (Current Year)</t>
  </si>
  <si>
    <t xml:space="preserve">  Change in Other Current Assets</t>
  </si>
  <si>
    <t>= Other Current Assets (Prior Year) - Other Current Assets (Current Year)</t>
  </si>
  <si>
    <t xml:space="preserve">  Change in Trade Payables &amp; Acceptances</t>
  </si>
  <si>
    <t>= Trade Payables (Current Year) - Trade Payables (Prior Year)</t>
  </si>
  <si>
    <t xml:space="preserve">  Change in Other Current Liabilities</t>
  </si>
  <si>
    <t>= Other Current Liabilities (Current Year) - Other Current Liabilities (Prior Year)</t>
  </si>
  <si>
    <t>Total CFO</t>
  </si>
  <si>
    <t>= Sum of PAT + Depreciation + Δ DTL + Δ LT Provisions + Working Capital Changes</t>
  </si>
  <si>
    <t>Cash Flow from Investing Activities (CFI)</t>
  </si>
  <si>
    <t>Capital Expenditures (Capex)</t>
  </si>
  <si>
    <t>= -(NFA_CY + CWIP_CY - NFA_PY - CWIP_PY + Depreciation_CY)</t>
  </si>
  <si>
    <t>Change in Long-term Investments</t>
  </si>
  <si>
    <t>= Long-term Investments (Prior Year) - Long-term Investments (Current Year)</t>
  </si>
  <si>
    <t>Change in Long-term Loans &amp; Advances</t>
  </si>
  <si>
    <t>= Long-term Loans &amp; Advances (Prior Year) - Long-term Loans &amp; Advances (Current Year)</t>
  </si>
  <si>
    <t>Change in Other Long-term Assets</t>
  </si>
  <si>
    <t>= Other Long-term Assets (Prior Year) - Other Long-term Assets (Current Year)</t>
  </si>
  <si>
    <t>Change in ST Loans, Advances &amp; Investments</t>
  </si>
  <si>
    <t>= ST Loans, Advances &amp; Investments (Prior Year) - ST Loans (Current Year)</t>
  </si>
  <si>
    <t>Total CFI</t>
  </si>
  <si>
    <t>= Sum of Capex + Δ LT Investments + Δ LT Loans + Δ Other LT Assets + Δ ST Loans</t>
  </si>
  <si>
    <t>Cash Flow from Financing Activities (CFF)</t>
  </si>
  <si>
    <t>Change in Share Capital</t>
  </si>
  <si>
    <t>= Share Capital (Current Year) - Share Capital (Prior Year)</t>
  </si>
  <si>
    <t>Change in LT Borrowings</t>
  </si>
  <si>
    <t>= LT Borrowings (Current Year) - LT Borrowings (Prior Year)</t>
  </si>
  <si>
    <t>Change in Short-term Borrowings</t>
  </si>
  <si>
    <t>= Short-term Borrowings (Current Year) - Short-term Borrowings (Prior Year)</t>
  </si>
  <si>
    <t>Dividends Paid</t>
  </si>
  <si>
    <t>= -(PAT - (Reserves &amp; Surplus CY - Reserves &amp; Surplus PY))</t>
  </si>
  <si>
    <t>Total CFF</t>
  </si>
  <si>
    <t>= Sum of Δ Share Capital + Δ LT Borrowings + Δ ST Borrowings + Dividends Paid</t>
  </si>
  <si>
    <t>Net Change in Cash &amp; Cash Equivalents</t>
  </si>
  <si>
    <t>= Total CFO + Total CFI + Total CFF</t>
  </si>
  <si>
    <t>Opening Cash Balance</t>
  </si>
  <si>
    <t>= Prior Year Cash &amp; Bank Balance (row 91)</t>
  </si>
  <si>
    <t>Closing Cash Balance (Calculated)</t>
  </si>
  <si>
    <t>= Opening Cash Balance + Net Change in Cash</t>
  </si>
  <si>
    <t>Check (Calc. vs BS)</t>
  </si>
  <si>
    <t>= Closing Cash (Calc.) - Cash &amp; Bank Balance (BS). Display "Match" if 0</t>
  </si>
  <si>
    <t>Trend (FY16→FY25)</t>
  </si>
  <si>
    <t>Interpretation</t>
  </si>
  <si>
    <t>1. Growth Ratios</t>
  </si>
  <si>
    <t>Sales Growth = (Net Sales CY / Net Sales PY) − 1</t>
  </si>
  <si>
    <t>EBITDA Growth</t>
  </si>
  <si>
    <t>EBITDA Growth = (EBITDA CY / EBITDA PY) − 1</t>
  </si>
  <si>
    <t>EBIT Growth</t>
  </si>
  <si>
    <t>EBIT Growth = (EBIT CY / EBIT PY) − 1</t>
  </si>
  <si>
    <t>Net Profit Growth</t>
  </si>
  <si>
    <t>Net Profit Growth = (PAT CY / PAT PY) − 1</t>
  </si>
  <si>
    <t>Net profit grew +15% in FY25 to ₹114.6 Cr, trailing EBITDA/EBIT growth due to higher interest expense (re-levering for Battery-2). Still meaningfully below FY22 supernormal peak (₹239 Cr). Earliest years (FY17-FY21) show N/M due to negative-base distortions.</t>
  </si>
  <si>
    <t>2. Profitability Ratios</t>
  </si>
  <si>
    <t>Gross Margin = Gross Profit / Net Sales</t>
  </si>
  <si>
    <t>Gross margin recovered to 15.8% in FY25 (from 15.0% FY24), a modest improvement. Still far below the FY22 peak of 35% driven by favourable coke spreads. The business remains a commodity margin play — gross margin is highly sensitive to coke price cycles and imported coal costs.</t>
  </si>
  <si>
    <t>EBITDA margin ticked up to 10.7% in FY25 (from 10.4% FY24), still meaningfully below the FY22 peak of 30.3%. Operating leverage is intact but coke spreads remain mid-cycle. Management forecasts 16.8% by FY29E on volume ramp and mix improvement.</t>
  </si>
  <si>
    <t>EBIT margin at 9.1% in FY25 (up modestly from 9.0% FY24) remains below the 9-year median and far from the FY22 peak of 28.6%. Below-mid-cycle profitability; depreciation intensity is rising with Battery-2 capitalised, adding a structural drag that volume growth must offset.</t>
  </si>
  <si>
    <t>EBT Margin</t>
  </si>
  <si>
    <t>EBT Margin = Profit Before Tax / Net Sales</t>
  </si>
  <si>
    <t>EBT margin 8.3% in FY25 (vs 8.6% FY24) reflects higher interest from the FY25 net TL drawdown (+₹113 Cr to fund Battery-2). Finance costs are structurally elevated vs FY23-24 deleveraging years — this is the cost of the capacity expansion.</t>
  </si>
  <si>
    <t>Net Profit Margin</t>
  </si>
  <si>
    <t>Net Profit Margin = Profit After Tax / Net Sales</t>
  </si>
  <si>
    <t>Net margin 6.1% in FY25 (vs 6.3% FY24) is modestly lower despite higher revenue, reflecting interest drag. Still solidly positive — a long way from FY16 (-9.0%) and FY20 (-1.8%) loss years. Effective tax rate consistent at ~25-26% in profitable years.</t>
  </si>
  <si>
    <t>SG&amp;A Expenses % Sales</t>
  </si>
  <si>
    <t>SG&amp;A stood at 4.1% in FY25 (up from 3.7% FY24). Cost absorption was modestly pressured as overhead costs rose alongside expanded operations. Well-managed historically — range has been 2.5-4.7% of sales.</t>
  </si>
  <si>
    <t>Depreciation intensity rose to 1.66% of sales in FY25 (from 1.3% FY24) as Battery-2 commissioning added ₹433 Cr of gross block. This is the structural step-change — expect dep % to stay elevated through the projection period.</t>
  </si>
  <si>
    <t>Operating Income % Sales</t>
  </si>
  <si>
    <t>Operating Income % Sales = EBIT / Net Sales</t>
  </si>
  <si>
    <t>Identical to EBIT Margin. Operating income tracks EBIT directly in this model. See EBIT Margin (Row 14) interpretation — FY25 at 9.1%, below mid-cycle.</t>
  </si>
  <si>
    <t>3. Liquidity &amp; Leverage Ratios</t>
  </si>
  <si>
    <t>Current Ratio</t>
  </si>
  <si>
    <t>Current Ratio = Total Current Assets / Total Current Liabilities</t>
  </si>
  <si>
    <t>Current ratio eased to 1.02x in FY25 (from 1.08x FY24), reflecting the ₹109 Cr short-term borrowings reappearing on the liability side. Still above 1.0x comfort threshold, but tighter than the FY21 peak of 4.8x when cash was abundant.</t>
  </si>
  <si>
    <t>Quick Ratio</t>
  </si>
  <si>
    <t>Quick Ratio = (Total Current Assets − Inventories) / Total Current Liabilities</t>
  </si>
  <si>
    <t>Quick ratio edged up to 0.57x in FY25 (from 0.56x FY24), still below the 1.0x comfort level. Inventory remains a large share of current assets (17% of total assets in FY25 vs 18% FY24).</t>
  </si>
  <si>
    <t>Debt to Equity Ratio</t>
  </si>
  <si>
    <t>Debt to Equity = (LT Borrowings + ST Borrowings) / Total Equity</t>
  </si>
  <si>
    <t>D/E re-levered to 0.49x in FY25A (from 0.36x FY24) as FY25 saw a ₹113 Cr net Bank TL drawdown + ₹114 Cr net Buyers Credit drawdown to fund Battery-2 commissioning. Forward trajectory: rapid deleveraging as BC runs off completely by FY28 and Bank TL amortizes. D/E drops to ~0.23x by FY29E. Net Debt turns negative in FY28.</t>
  </si>
  <si>
    <t>Interest Coverage Ratio</t>
  </si>
  <si>
    <t>Interest Coverage = EBIT / Finance Costs</t>
  </si>
  <si>
    <t>Interest coverage improved to 5.06x in FY25A (from 3.55x FY24) as EBIT growth outpaced interest expense increase. Forward trajectory strengthens sharply to 10.7x by FY29E as Buyers Credit amortizes and EBITDA expands. Well above the 3.0x covenant threshold in all periods.</t>
  </si>
  <si>
    <t>4. Return / Performance Ratios</t>
  </si>
  <si>
    <t>Return on Capital Employed</t>
  </si>
  <si>
    <t>ROCE = EBIT / (Total Equity + Total Non-Current Liabilities)</t>
  </si>
  <si>
    <t>ROCE improved to 14.7% in FY25 (from 11.7% FY24), well above cost of capital (~12.75% WACC). EBIT grew faster than the invested capital base as Battery-2 began generating returns. Still below FY22 peak of 31% but the trajectory is encouraging.</t>
  </si>
  <si>
    <t>Retained Earnings %</t>
  </si>
  <si>
    <t>Retained Earnings % = (Reserves CY − Reserves PY) / Profit After Tax</t>
  </si>
  <si>
    <t>Retention turned NEGATIVE at -31.9% in FY25 — the first meaningful dividend payout in the company's history. Reserves declined as dividends exceeded retained earnings. Signals management confidence post-expansion; previously ~100% retention through the deleveraging years.</t>
  </si>
  <si>
    <t>Return on Equity (ROE)</t>
  </si>
  <si>
    <t>ROE = Profit After Tax / Total Equity</t>
  </si>
  <si>
    <t>ROE at 14.4% in FY25 (up from 11.8% FY24) benefits from a slightly smaller equity base (dividends paid) and growing PAT. Cyclically recovering. Far from FY22 peak of 41% but trending in the right direction as the expanded capacity ramps.</t>
  </si>
  <si>
    <t>Self Sustained Growth Rate</t>
  </si>
  <si>
    <t>Self Sustained Growth = ROE × Retained Earnings %</t>
  </si>
  <si>
    <t>SSGR turned negative at -4.6% in FY25 — with dividends being paid, self-funded growth mathematically goes negative. The company can now grow ₹X via new debt rather than retained earnings. Regime change from the FY18-24 100%-retention era.</t>
  </si>
  <si>
    <t>5. Efficiency &amp; Turnover Ratios</t>
  </si>
  <si>
    <t>Debtor Turnover Ratio</t>
  </si>
  <si>
    <t>Debtor Turnover = Net Sales / Trade Receivables</t>
  </si>
  <si>
    <t>Debtor turnover 16.4x in FY25 (= 22 days, vs 18 days FY24) — collection slightly slower as revenue scaled. Still well-managed; within tight range of 15-20x typical for this business.</t>
  </si>
  <si>
    <t>Creditor Turnover Ratio</t>
  </si>
  <si>
    <t>Creditor Turnover = COGS / Trade Payables &amp; Acceptances</t>
  </si>
  <si>
    <t>Creditor turnover 4.3x in FY25 (= 86 days, vs 169 days FY24) — MAJOR shift. Trade payables roughly halved in length as supplier terms tightened. This is a structural working-capital headwind that compressed CFO.</t>
  </si>
  <si>
    <t>Inventory Turnover</t>
  </si>
  <si>
    <t>Inventory Turnover = COGS / Inventories</t>
  </si>
  <si>
    <t>Inventory turnover 4.9x in FY25 (= 74 days, vs 93 days FY24) — modest improvement. Inventory days have normalised from the FY22 peak of 273 days when the company stockpiled heavily. Current level is efficient for a coke producer.</t>
  </si>
  <si>
    <t>Fixed Asset Turnover</t>
  </si>
  <si>
    <t>Fixed Asset Turnover = Net Sales / Net Fixed Assets</t>
  </si>
  <si>
    <t>FAT fell to 2.4x in FY25 (from 3.4x FY24) as Battery-2 capitalisation added ₹433 Cr to Net Fixed Assets (up from ~₹461 Cr to ~₹786 Cr). The ratio will re-expand as the new capacity drives revenue.</t>
  </si>
  <si>
    <t>Capital Turnover Ratio</t>
  </si>
  <si>
    <t>Capital Turnover = Net Sales / Total Equity</t>
  </si>
  <si>
    <t>Capital turnover 2.3x in FY25 (vs 1.9x FY24) — improved as revenue grew on a shrinking equity base (dividends paid). Mechanical improvement rather than operational — watch for sustained uplift as Battery-2 ramps.</t>
  </si>
  <si>
    <t>6. Operating Cycle Ratios</t>
  </si>
  <si>
    <t>Debtor Days = 365 / Debtor Turnover Ratio</t>
  </si>
  <si>
    <t>Debtor days lengthened to 22 in FY25 (from 18 days FY24). Still very tight — well-managed working capital. Historical range 4-32 days; current level is middle-of-pack and not a concern.</t>
  </si>
  <si>
    <t>Payable Days = 365 / Creditor Turnover Ratio</t>
  </si>
  <si>
    <t>Payable days halved to 86 in FY25 (from 169 days FY24). Suppliers tightened credit terms — this is a structural working capital headwind. The FY24 number was anomalously long; FY25 is closer to industry norms.</t>
  </si>
  <si>
    <t>Inventory Days = 365 / Inventory Turnover Ratio</t>
  </si>
  <si>
    <t>Inventory days eased to 74 in FY25 (from 93 days FY24), improving efficiency. Down sharply from the FY22 extreme of 273 days. Appropriate level for a coke manufacturer running at elevated utilisation.</t>
  </si>
  <si>
    <t>Cash Conversion Cycle</t>
  </si>
  <si>
    <t>CCC = Debtor Days + Inventory Days − Payable Days</t>
  </si>
  <si>
    <t>CCC swung to +11 days in FY25 (from -59 days FY24). The favourable negative-CCC dynamic (paid-before-paying) has reversed as payable days shortened. Working capital now absorbs cash rather than releasing it — this is the key cash flow story of FY25.</t>
  </si>
  <si>
    <t>7. Cash Flow Ratios</t>
  </si>
  <si>
    <t>CFO / Sales</t>
  </si>
  <si>
    <t>CFO / Sales = Total CFO / Net Sales</t>
  </si>
  <si>
    <t>CFO/Sales compressed to 6.3% in FY25 (from 21.6% FY24). Sharp drop reflects the working-capital bleed from payable-day compression. Accounting profits remained strong but cash generation lagged materially — watch this metric in FY26 as WC normalises.</t>
  </si>
  <si>
    <t>CFO / Total Assets</t>
  </si>
  <si>
    <t>CFO / Total Assets = Total CFO / Total Assets</t>
  </si>
  <si>
    <t>CFO/Assets dropped to 6.3% in FY25 (from 18.1% FY24). Asset base grew (Battery-2) while CFO shrank (WC drag) — double compression. Expect recovery as the expanded capacity drives revenue and WC stabilises.</t>
  </si>
  <si>
    <t>CFO / Total Debt</t>
  </si>
  <si>
    <t>CFO / Total Debt = Total CFO / (LT Borrowings + ST Borrowings)</t>
  </si>
  <si>
    <t>CFO/Debt fell sharply to 30.4% in FY25 (from 111% FY24). The deleveraging narrative has PAUSED — FY25 saw simultaneous debt increase (Battery-2 funding) and CFO compression (WC). Still acceptable coverage; will recover as operating cash flow rebuilds.</t>
  </si>
  <si>
    <t>Other Income</t>
  </si>
  <si>
    <t>Interpretation &amp; Key Insights</t>
  </si>
  <si>
    <t>A. Income Statement Insights</t>
  </si>
  <si>
    <t>1. COGS &amp; Gross Margin Trajectory</t>
  </si>
  <si>
    <t>COGS oscillated sharply over the decade — from 94.2% of sales (FY16) down to 78.5% (FY17), then ranging between 76.9–87.4% through FY20 before plunging to its cycle low of 65.0% in FY22 (the commodity super-cycle year). It has since reverted to 85.0% (FY24) and eased slightly to 84.2% in FY25. Gross margin recovered marginally from 15.0% (FY24) to 15.8% (FY25) as realization improved (+19% top-line growth) while input-cost pressure persisted. The business remains a commodity margin play — gross margin is still well below the 19–35% range seen across FY18–FY22, though FY20's 12.6% shows the downside risk when coke spreads compress.</t>
  </si>
  <si>
    <t>2. EBITDA Margin Cycle</t>
  </si>
  <si>
    <t>EBITDA margin swung from –1.4% (FY16) to a peak of 30.3% (FY22), before contracting sharply to 13.0% (FY23) and further to 10.4% (FY24), holding at 10.7% in FY25. This mirrors the commodity-cycle nature of the coke business. FY21's 19.3% was strong but the true super-cycle peak came in FY22. Steady-state EBITDA margin appears anchored in the 10–18% range based on the 10-year history, excluding the FY22 outlier; FY20's 6.7% marks the trough scenario when coke spreads collapse.</t>
  </si>
  <si>
    <t>3. Operating Leverage &amp; PAT Margin</t>
  </si>
  <si>
    <t>PAT margin peaked at 19.2% (FY22) — not FY21 (7.6%) — and has normalised to 6.1% in FY25 (vs. 6.3% in FY24). Employee costs remain very lean (&lt;1% of sales), SG&amp;A steady at 3–5%, and depreciation at 1.7% of sales (FY25) reflects a capitalised fixed-asset base. Finance costs declined to 1.8% of sales (FY25) from 2.5% (FY24) as the revenue base grew faster than incremental interest on the Battery-2 debt. Operating leverage remains muted until volume ramp-up translates into margin expansion.</t>
  </si>
  <si>
    <t>4. Other Income &amp; Extraordinary Items</t>
  </si>
  <si>
    <t>Other income stayed elevated at 1.0% of sales in FY25 (₹18.7 Cr) — roughly half the FY24 level (2.6%, ₹40.6 Cr) — as surplus cash was redeployed into capex. Extraordinary items remain immaterial (&lt;0.5% of sales), so earnings quality continues to be driven purely by operating performance.</t>
  </si>
  <si>
    <t>B. Balance Sheet Insights</t>
  </si>
  <si>
    <t>5. Equity Build-Up &amp; Deleveraging</t>
  </si>
  <si>
    <t>Total Equity holds at 42.5% of total assets in FY25 (vs. 44.8% FY24) — the slight decline reflects the net debt drawdown funding Battery-2 rather than any equity erosion. Reserves continue to build (35.3% vs. 37.3%) from retained earnings. LT Borrowings edged down to 14.9% (from 16.3%) but ST Borrowings reappeared at 5.8% (₹109 Cr, vs. nil in FY24), so total debt/assets rose to 20.7% (vs. 16.3%). The company has re-levered modestly to fund the expansion.</t>
  </si>
  <si>
    <t>6. Current Liabilities — Trade Payables Surge</t>
  </si>
  <si>
    <t>Current liabilities stepped up further to 38.6% of total assets in FY25 (vs. 35.2% FY24), but the mix shifted: Trade Payables compressed sharply to 19.7% (from 33.1%) as the company paid down supplier credit, while ST Borrowings rose to 5.8% and Other CL grew to 13.1% (from 2.1%). The payables surge observed through FY24 has reversed — supplier-concentration risk has eased meaningfully.</t>
  </si>
  <si>
    <t>7. Asset-Side: Shift from Fixed to Current Assets</t>
  </si>
  <si>
    <t>The asset mix has fundamentally repositioned in FY25 as Battery-2 was capitalised: Net Fixed Assets jumped to 41.9% of total assets (from 24.6% FY24), while CWIP collapsed to 9.5% (from 23.1%). This confirms the Battery-2 transfer from CWIP to productive asset base. LT Loans &amp; Advances remained modest at 1.5% (down from 14.3% FY24 as project advances were converted). The asset side is now operational rather than under-construction.</t>
  </si>
  <si>
    <t>8. Working Capital — Inventory &amp; Receivables</t>
  </si>
  <si>
    <t>Inventories eased to 17.1% of assets in FY25 (from 18.1% FY24), reflecting steady raw-material turnover at higher volumes. Trade Receivables rose to 6.1% (from 4.1%) tracking revenue growth. Cash &amp; Bank Balance climbed to 11.2% (from 4.0%) — despite the Battery-2 capex, the company ended FY25 with ₹210 Cr cash, up sharply from ₹75 Cr FY24, cushioned by the net TL drawdown.</t>
  </si>
  <si>
    <t>9. Overall Assessment</t>
  </si>
  <si>
    <t>FY25 marks the pivot year for Jindal Coke. The capacity transformation is done — Battery-2 is capitalised, CWIP has collapsed, and Net Fixed Assets have jumped. The company re-levered modestly (total debt up from 16.3% to 20.7% of assets) but equity cushion remains strong at 42.5%. Profitability is still below-mid-cycle (EBITDA 10.7%, PAT 6.1%) as the ramp-up is incomplete. The story from FY26 onwards depends on: (1) volume conversion at the new battery, (2) coke realisations stabilising, and (3) sustained deleveraging from FY27 once scheduled repayments resume.</t>
  </si>
  <si>
    <t>Jindal Coke Ltd. — Projection Assumptions &amp; Key Drivers (FY25A – FY29E)</t>
  </si>
  <si>
    <t>Category &amp; Driver</t>
  </si>
  <si>
    <t>Rationale / Detailed Explanation</t>
  </si>
  <si>
    <t>1. OPERATIONAL &amp; REVENUE DRIVERS</t>
  </si>
  <si>
    <t>Installed Capacity (MTPA) — Total</t>
  </si>
  <si>
    <t>Mentor benchmark: COB-1 (0.429) + COB-2 (0.350) = 0.779 MTPA. Prior model overstated at 0.86 MTPA.</t>
  </si>
  <si>
    <t>Capacity Utilization (blended — derived)</t>
  </si>
  <si>
    <t xml:space="preserve"> = (COB-1 Prod + COB-2 Prod) / Total Capacity. Now driven by separate battery utilization rows below.</t>
  </si>
  <si>
    <t>Total Sales Volume (MT)</t>
  </si>
  <si>
    <t xml:space="preserve"> = Total Coke Production (mentor-aligned). Prior was Capacity × Util × 10^6.</t>
  </si>
  <si>
    <t>Blended Realization (₹/MT)</t>
  </si>
  <si>
    <t>Implied blended = Total Revenue (incl. by-products) × 10M / Coke MT</t>
  </si>
  <si>
    <t>Net Sales (₹ Cr) — from mentor-aligned build below</t>
  </si>
  <si>
    <t>Linked to Total Net Sales in Section 6 (mentor-aligned split). Preserved original cell address for downstream refs.</t>
  </si>
  <si>
    <t>2. COST &amp; PROFITABILITY DRIVERS</t>
  </si>
  <si>
    <t>COGS % is now the binding driver (flat % of sales, tapering). Coal decomposition rows below are memo items showing imported vs domestic split at the binding COGS level.</t>
  </si>
  <si>
    <t>COGS (₹ Cr)</t>
  </si>
  <si>
    <t xml:space="preserve"> = Net Sales × COGS% − CDQ Cost Saving. CDQ is a contra-expense.</t>
  </si>
  <si>
    <t xml:space="preserve">  Assumed USD/INR Rate</t>
  </si>
  <si>
    <t>Scenario-linked from Scenario Engine. Bear case: 5-7% depreciation.</t>
  </si>
  <si>
    <t xml:space="preserve">  Coking Coal (USD/MT)</t>
  </si>
  <si>
    <t>Scenario-linked from Scenario Engine. Bear case: cost squeeze at $340/MT.</t>
  </si>
  <si>
    <t>Employee Benefit Expenses (% of Sales)</t>
  </si>
  <si>
    <t>Employee Benefit Expenses (₹ Cr)</t>
  </si>
  <si>
    <t>= Net Sales × Employee Benefit Expenses (% of Sales). Derived line item for P&amp;L linkage.</t>
  </si>
  <si>
    <t>SG&amp;A Expenses (% of Sales)</t>
  </si>
  <si>
    <t>Held flat at the FY24 historical percentage of 3.74%. JCL benefits from shared infrastructure and captive power within the Jindal group, keeping general overheads stable as a proportion of revenue.</t>
  </si>
  <si>
    <t>SG&amp;A Expenses (₹ Cr)</t>
  </si>
  <si>
    <t>= Net Sales × SG&amp;A Expenses (% of Sales). Derived line item for P&amp;L linkage.</t>
  </si>
  <si>
    <t>Implied EBITDA (₹ Cr)</t>
  </si>
  <si>
    <t>= Net Sales − COGS − Employee Benefit Expenses − SG&amp;A Expenses. Cross-check metric for margin validation.</t>
  </si>
  <si>
    <t>Implied EBITDA Margin (%)</t>
  </si>
  <si>
    <t>= Implied EBITDA / Net Sales. Target margin band of ~13-15% validates the cost structure.</t>
  </si>
  <si>
    <t>3. WORKING CAPITAL DRIVERS (Days)</t>
  </si>
  <si>
    <t>JCL has highly concentrated revenue (80-90% from top 10 customers) with ~20-27% of sales to reliable internal group companies like JSL, ensuring fast cash conversion and low credit risk.</t>
  </si>
  <si>
    <t>Trade Receivables (₹ Cr)</t>
  </si>
  <si>
    <t>= (Net Sales / 365) × Debtor Days. Derived balance sheet line item.</t>
  </si>
  <si>
    <t>The majority of coking coal is imported on a spot basis; a 45-day buffer is required to manage oceanic transit times (4-6 weeks from Australia/US) and supply chain shocks.</t>
  </si>
  <si>
    <t>Inventories (₹ Cr)</t>
  </si>
  <si>
    <t>= (COGS / 365) × Inventory Days. Inventory is valued against cost of goods sold, not sales.</t>
  </si>
  <si>
    <t>FIXED: Was 90 in FY25 (inconsistent with Scenario Engine and other years). Now all years link to Scenario Engine.</t>
  </si>
  <si>
    <t>Trade Payables (₹ Cr)</t>
  </si>
  <si>
    <t>= (COGS / 365) × Payable Days. Payables are valued against cost of goods sold.</t>
  </si>
  <si>
    <t>Net Working Capital Cycle (Days)</t>
  </si>
  <si>
    <t>= Debtor Days + Inventory Days − Payable Days. Measures the cash-to-cash cycle.</t>
  </si>
  <si>
    <t>4. CAPEX &amp; DEPRECIATION</t>
  </si>
  <si>
    <t>Maintenance Capex (₹ Cr)</t>
  </si>
  <si>
    <t>= 2.5% × Opening Gross Block. Dynamic maintenance capex replacing flat ₹10 Cr assumption. Reflects standard industrial asset maintenance intensity.</t>
  </si>
  <si>
    <t>Expansion Capex (₹ Cr)</t>
  </si>
  <si>
    <t>Post Battery-2 commissioning, the company is in a consolidation and deleveraging phase. No new capacity expansion projects announced or budgeted.</t>
  </si>
  <si>
    <t>Total Capex (₹ Cr)</t>
  </si>
  <si>
    <t>= Maintenance Capex + Expansion Capex.</t>
  </si>
  <si>
    <t>Depreciation Rate (% of Opening Gross Block)</t>
  </si>
  <si>
    <t>Standard straight-line depreciation proxy for heavy industrial plant and machinery. 5% rate implies a ~20-year useful life, consistent with coke oven battery assets.</t>
  </si>
  <si>
    <t>Opening Gross Block (₹ Cr)</t>
  </si>
  <si>
    <t>FY25 Opening = FY24 NFA (₹461.01 Cr) + FY24 CWIP (₹433.04 Cr) capitalized upon Battery-2 commissioning. Subsequent years roll forward: Prior Year Closing Gross Block.</t>
  </si>
  <si>
    <t>Closing Gross Block (₹ Cr)</t>
  </si>
  <si>
    <t>= Opening Gross Block + Total Capex. Rolls forward the fixed asset base annually.</t>
  </si>
  <si>
    <t>Depreciation (₹ Cr)</t>
  </si>
  <si>
    <t xml:space="preserve"> REWIRED: Now linked to Depreciation Schedule (asset-class rates). Prior was flat 5%.</t>
  </si>
  <si>
    <t>5. DEBT &amp; FINANCING DRIVERS</t>
  </si>
  <si>
    <t>Opening Term Debt (₹ Cr)</t>
  </si>
  <si>
    <t>FY25 Opening = FY24 LT Borrowings (incl. current portion) of ₹324.01 Cr per Balance Sheet Summary. Subsequent years roll forward based on repayment schedule.</t>
  </si>
  <si>
    <t>Term Debt Repayment (₹ Cr)</t>
  </si>
  <si>
    <t>Mentor-aligned: FY26 NEGATIVE = new TL drawdown net of scheduled repay. Prior model used flat ₹25 Cr.</t>
  </si>
  <si>
    <t>Closing Term Debt (₹ Cr)</t>
  </si>
  <si>
    <t>= Opening Term Debt − Term Debt Repayment. Tracks the deleveraging trajectory.</t>
  </si>
  <si>
    <t>Represents a blended average cost of debt suitable for a corporate entity with a CARE A+ credit rating. Reflects the current Indian lending rate environment for mid-cap industrials.</t>
  </si>
  <si>
    <t>Interest Expense (₹ Cr)</t>
  </si>
  <si>
    <t>SINGLE SOURCE: Now = Debt Schedule Total Interest (TL + BC + WC + Bank Charges). Row 93 below is retained as a cross-check only.</t>
  </si>
  <si>
    <t>Effective Tax Rate (%)</t>
  </si>
  <si>
    <t>Standard Indian corporate tax regime under Section 115BAA inclusive of surcharge and cess (22% + 10% surcharge + 4% H&amp;E cess = 25.168%). No specific tax holidays publicly verified for JCL.</t>
  </si>
  <si>
    <t>LEGEND</t>
  </si>
  <si>
    <t>■  Blue Text = Hardcoded Assumption (Editable Input)</t>
  </si>
  <si>
    <t>■  Black Text = Formula / Derived Calculation (Do Not Edit)</t>
  </si>
  <si>
    <t>■  Grey Background = Derived Output Row (Formula-driven)</t>
  </si>
  <si>
    <t>■  Blue Background = Section Header</t>
  </si>
  <si>
    <t>6. PRODUCTION &amp; REVENUE BUILD (Mentor-aligned, Nov 2025)</t>
  </si>
  <si>
    <t>COB-1 Utilization %</t>
  </si>
  <si>
    <t>COB-1 Production (MT)</t>
  </si>
  <si>
    <t xml:space="preserve"> = Capacity × Utilization</t>
  </si>
  <si>
    <t>COB-2 Utilization %</t>
  </si>
  <si>
    <t>Ramps 35% → 80% per mentor</t>
  </si>
  <si>
    <t>COB-2 Production (MT)</t>
  </si>
  <si>
    <t>Total Coke Production (MT)</t>
  </si>
  <si>
    <t xml:space="preserve"> = COB-1 Production + COB-2 Production</t>
  </si>
  <si>
    <t>Base ₹27,000/MT per mentor; grows 2% YoY (editable via Scenario Engine)</t>
  </si>
  <si>
    <t>Coke Revenue (₹ Cr)</t>
  </si>
  <si>
    <t xml:space="preserve"> = Coke Production × Coke Price / 10,000,000</t>
  </si>
  <si>
    <t>COG Yield (Nm³/MT coke)</t>
  </si>
  <si>
    <t>COG Production (Nm³)</t>
  </si>
  <si>
    <t>COG Revenue (₹ Cr)</t>
  </si>
  <si>
    <t xml:space="preserve"> = COG Production × Price / 10,000,000</t>
  </si>
  <si>
    <t>Coal Tar Yield (% of coke production)</t>
  </si>
  <si>
    <t>Coal Tar Production (MT)</t>
  </si>
  <si>
    <t>Coal Tar Revenue (₹ Cr)</t>
  </si>
  <si>
    <t>Total Net Sales (₹ Cr) [MENTOR-ALIGNED]</t>
  </si>
  <si>
    <t xml:space="preserve"> = Coke Rev + COG Rev + Coal Tar Rev. This REPLACES prior row 10 revenue.</t>
  </si>
  <si>
    <t>CDQ Cost Saving (₹ Cr) — NEW</t>
  </si>
  <si>
    <t>Heat recovery captive power. Scales with COB-2 utilization.</t>
  </si>
  <si>
    <t>BUYERS CREDIT SCHEDULE (new)</t>
  </si>
  <si>
    <t>Opening Buyers Credit (₹ Cr)</t>
  </si>
  <si>
    <t>INTEREST COST BREAKDOWN (Mentor-aligned)</t>
  </si>
  <si>
    <t>Interest on Term Loan (₹ Cr)</t>
  </si>
  <si>
    <t>Interest on Buyers Credit (₹ Cr)</t>
  </si>
  <si>
    <t>Interest on WC Borrowings (₹ Cr)</t>
  </si>
  <si>
    <t>₹30 Cr WC limit × 9%</t>
  </si>
  <si>
    <t>Bank Charges (₹ Cr)</t>
  </si>
  <si>
    <t>Processing, LC charges; higher in FY25 for new facility</t>
  </si>
  <si>
    <t>All figures in ₹ Crores unless stated otherwise</t>
  </si>
  <si>
    <t>PROJECTED INCOME STATEMENT</t>
  </si>
  <si>
    <t>(-) COGS</t>
  </si>
  <si>
    <t>(-) Employee Benefit Expenses</t>
  </si>
  <si>
    <t>(-) SG&amp;A Expenses</t>
  </si>
  <si>
    <t>(-) Depreciation</t>
  </si>
  <si>
    <t>(+) Other Income</t>
  </si>
  <si>
    <t>(-) Interest Expense</t>
  </si>
  <si>
    <t>Profit Before Tax (PBT)</t>
  </si>
  <si>
    <t>(-) Tax Expense (Current + Deferred)</t>
  </si>
  <si>
    <t>PAT Margin (%)</t>
  </si>
  <si>
    <t>PROJECTED BALANCE SHEET</t>
  </si>
  <si>
    <t>EQUITY &amp; LIABILITIES</t>
  </si>
  <si>
    <t>LT Borrowings (incl. current portion)</t>
  </si>
  <si>
    <t>Revolver Facility</t>
  </si>
  <si>
    <t>Total Liabilities</t>
  </si>
  <si>
    <t>ASSETS</t>
  </si>
  <si>
    <t>PROJECTED CASH FLOW STATEMENT</t>
  </si>
  <si>
    <t>Cash Flow from Operations (CFO)</t>
  </si>
  <si>
    <t>(+) Depreciation</t>
  </si>
  <si>
    <t xml:space="preserve">  Δ Inventories</t>
  </si>
  <si>
    <t xml:space="preserve">  Δ Trade Receivables</t>
  </si>
  <si>
    <t xml:space="preserve">  Δ Trade Payables</t>
  </si>
  <si>
    <t xml:space="preserve">  Δ Other NCL (DTL + Provisions)</t>
  </si>
  <si>
    <t>Cash Flow from Investing (CFI)</t>
  </si>
  <si>
    <t>(-) Capital Expenditure</t>
  </si>
  <si>
    <t>Total CFI (incl. LT Loans &amp; Advances realization)</t>
  </si>
  <si>
    <t>Cash Flow from Financing (CFF)</t>
  </si>
  <si>
    <t>(-) Term Debt Repayment</t>
  </si>
  <si>
    <t>(-) Change in ST Borrowings</t>
  </si>
  <si>
    <t>(-) Dividends + Buyback (Equity + Preference)</t>
  </si>
  <si>
    <t>Net Change in Cash</t>
  </si>
  <si>
    <t>Cash Before Financing</t>
  </si>
  <si>
    <t>Revolver Draw / (Repay)</t>
  </si>
  <si>
    <t>Closing Cash Balance</t>
  </si>
  <si>
    <t xml:space="preserve">  Note: For FY26, CWIP capitalises into PPE adding ₹178.59 Cr to NFA; no cash flow impact (non-cash reclassification). Other CL held steady at FY25A level.</t>
  </si>
  <si>
    <t>BALANCE CHECK</t>
  </si>
  <si>
    <t>Total Assets − Total (Equity + Liabilities)</t>
  </si>
  <si>
    <t>DEBT ROLL-FORWARD CHECK</t>
  </si>
  <si>
    <t>Term Debt: Opening + Repayment = Closing?</t>
  </si>
  <si>
    <t>Revolver: Opening + Drawdown/Repay = Closing?</t>
  </si>
  <si>
    <t>Jindal Coke Ltd. — DCF Valuation Model</t>
  </si>
  <si>
    <t>Valuation Date: April 1, 2025  |  All figures in ₹ Crores | FY25A actual (from Historical FS)</t>
  </si>
  <si>
    <t>1. WACC CALCULATION (Hurdle Rate)</t>
  </si>
  <si>
    <t>Cost of Equity (CAPM)</t>
  </si>
  <si>
    <t>Risk-Free Rate (Rf)</t>
  </si>
  <si>
    <t>Equity Risk Premium (ERP)</t>
  </si>
  <si>
    <t>Marginal Tax Rate</t>
  </si>
  <si>
    <t>Capital Structure (Target Industry Weights)</t>
  </si>
  <si>
    <t>Common Equity (E)</t>
  </si>
  <si>
    <t>Total Debt (D)</t>
  </si>
  <si>
    <t>Preference Share Capital (P)</t>
  </si>
  <si>
    <t>Total Capital (E + D + P)</t>
  </si>
  <si>
    <t>Target D/E Ratio (incl. Pref)</t>
  </si>
  <si>
    <t>Relevered Beta &amp; Cost of Equity</t>
  </si>
  <si>
    <t>Relevered Beta (βL)</t>
  </si>
  <si>
    <t>Cost of Equity (Ke)</t>
  </si>
  <si>
    <t>Cost of Debt &amp; Preference Capital</t>
  </si>
  <si>
    <t>After-tax Cost of Debt (Kd)</t>
  </si>
  <si>
    <t>Cost of Preference Capital (Kp)</t>
  </si>
  <si>
    <t>Weighted Average Cost of Capital</t>
  </si>
  <si>
    <t>Weight of Equity (We)</t>
  </si>
  <si>
    <t>Weight of Debt (Wd)</t>
  </si>
  <si>
    <t>Weight of Preference (Wp)</t>
  </si>
  <si>
    <t>2. FREE CASH FLOW TO FIRM (FCFF) PROJECTION</t>
  </si>
  <si>
    <t>NOPAT</t>
  </si>
  <si>
    <t>(+) Depreciation &amp; Amortization</t>
  </si>
  <si>
    <t>Net Working Capital (NWC)</t>
  </si>
  <si>
    <t>(-) Change in NWC (ΔNWC)</t>
  </si>
  <si>
    <t>Free Cash Flow to Firm (FCFF)</t>
  </si>
  <si>
    <t>Year Number (T)</t>
  </si>
  <si>
    <t>Discount Factor</t>
  </si>
  <si>
    <t>PV of FCFF</t>
  </si>
  <si>
    <t>3. TERMINAL VALUE &amp; ENTERPRISE VALUE</t>
  </si>
  <si>
    <t>Terminal Value Assumptions</t>
  </si>
  <si>
    <t>Terminal Value (Gordon Growth)</t>
  </si>
  <si>
    <t>PV of Terminal Value</t>
  </si>
  <si>
    <t>Enterprise Value Composition</t>
  </si>
  <si>
    <t>Sum of PV of Explicit Period FCFF</t>
  </si>
  <si>
    <t>Implied Enterprise Value (EV)</t>
  </si>
  <si>
    <t>% EV from Terminal Value</t>
  </si>
  <si>
    <t>4. ENTERPRISE VALUE TO EQUITY VALUE BRIDGE</t>
  </si>
  <si>
    <t>Implied Enterprise Value</t>
  </si>
  <si>
    <t>(+) FY25A Ending Cash &amp; Bank Balance</t>
  </si>
  <si>
    <t>(-) FY25A Ending Total Debt</t>
  </si>
  <si>
    <t>(-) Preference Share Capital</t>
  </si>
  <si>
    <t>Implied Common Equity Value</t>
  </si>
  <si>
    <t>5. VALUE PER SHARE</t>
  </si>
  <si>
    <t>Outstanding Equity Shares (Crore)</t>
  </si>
  <si>
    <t>Implied Intrinsic Value per Share (₹)</t>
  </si>
  <si>
    <t>6. SENSITIVITY ANALYSIS — Implied Value per Share (₹)</t>
  </si>
  <si>
    <t>WACC ↓  /  Terminal Growth →</t>
  </si>
  <si>
    <t>7. SANITY CHECK: EXIT MULTIPLE APPROACH</t>
  </si>
  <si>
    <t>Assumed Exit Multiple (x)</t>
  </si>
  <si>
    <t>Implied Terminal Value — Exit Multiple (₹ Cr)</t>
  </si>
  <si>
    <t>Gordon Growth Terminal Value (₹ Cr)</t>
  </si>
  <si>
    <t>Exit Multiple Premium / (Discount) to Gordon Growth</t>
  </si>
  <si>
    <t>Cross-check: Compare this to the Gordon Growth PV of Terminal Value to validate conservatism.</t>
  </si>
  <si>
    <t>Jindal Coke Ltd. — Sensitivity Analysis</t>
  </si>
  <si>
    <t>KEY ASSUMPTIONS (Linked from DCF Model)</t>
  </si>
  <si>
    <t>Base WACC</t>
  </si>
  <si>
    <t>← 'WACC &amp; DCF Valuation'!B32</t>
  </si>
  <si>
    <t>Base Terminal Growth Rate (g)</t>
  </si>
  <si>
    <t>← 'WACC &amp; DCF Valuation'!B56</t>
  </si>
  <si>
    <t>Base Intrinsic Value per Share</t>
  </si>
  <si>
    <t>← 'WACC &amp; DCF Valuation'!B81</t>
  </si>
  <si>
    <t>SENSITIVITY MATRIX — Implied Value per Share (₹)</t>
  </si>
  <si>
    <t>VALUATION RANGE SUMMARY</t>
  </si>
  <si>
    <t>Best Case (Low WACC, High g)</t>
  </si>
  <si>
    <t>Worst Case (High WACC, Low g)</t>
  </si>
  <si>
    <t>Total Valuation Spread</t>
  </si>
  <si>
    <t>INTERPRETATION — Reading the "Football Field"</t>
  </si>
  <si>
    <t>How to Read the Matrix:</t>
  </si>
  <si>
    <t>•  Moving RIGHT along any row (higher Terminal Growth Rate) → Value INCREASES. Higher perpetual growth means more future cash flows, increasing the terminal value.</t>
  </si>
  <si>
    <t>•  Moving DOWN along any column (higher WACC) → Value DECREASES. A higher discount rate penalizes future cash flows more heavily, reducing present values.</t>
  </si>
  <si>
    <t>•  The YELLOW highlighted cell (D13) is your BASE CASE valuation — the single-point DCF estimate using current model assumptions.</t>
  </si>
  <si>
    <t>•  TOP-RIGHT corner (F11) = Best case — most optimistic scenario with lowest WACC &amp; highest terminal growth.</t>
  </si>
  <si>
    <t>•  BOTTOM-LEFT corner (B15) = Worst case — most conservative scenario with highest WACC &amp; lowest terminal growth.</t>
  </si>
  <si>
    <t>Key Observations for JCL:</t>
  </si>
  <si>
    <t>Jindal Coke Ltd. — Comparable Company Analysis (EV/EBITDA)</t>
  </si>
  <si>
    <t>Valuation Date: April 1, 2025</t>
  </si>
  <si>
    <t>1. PEER COMPANY DATA</t>
  </si>
  <si>
    <t>Company</t>
  </si>
  <si>
    <t>Type</t>
  </si>
  <si>
    <t>Market Cap
(₹ Cr)</t>
  </si>
  <si>
    <t>Net Debt
(₹ Cr)</t>
  </si>
  <si>
    <t>Enterprise Value
(₹ Cr)</t>
  </si>
  <si>
    <t>EBITDA FY25
(₹ Cr)</t>
  </si>
  <si>
    <t>EV / EBITDA
(x)</t>
  </si>
  <si>
    <t>Shares Out
(Cr)</t>
  </si>
  <si>
    <t>Source</t>
  </si>
  <si>
    <t>Sandur Manganese &amp; Iron Ores Ltd.</t>
  </si>
  <si>
    <t>Listed</t>
  </si>
  <si>
    <t>Unofficial</t>
  </si>
  <si>
    <t>Gujarat NRE Coke Ltd.</t>
  </si>
  <si>
    <t>CIRP</t>
  </si>
  <si>
    <t>Insolvent</t>
  </si>
  <si>
    <t>Reference Multiple</t>
  </si>
  <si>
    <t>EV / EBITDA (x)</t>
  </si>
  <si>
    <t>3. JINDAL COKE — IMPLIED EQUITY VALUE PER SHARE</t>
  </si>
  <si>
    <t>EV / EBITDA Multiple (x)</t>
  </si>
  <si>
    <t xml:space="preserve">  NTM EBITDA (FY26E, ₹ Cr)</t>
  </si>
  <si>
    <t>Implied Enterprise Value (₹ Cr)</t>
  </si>
  <si>
    <t xml:space="preserve">  Less: Total Debt (₹ Cr)</t>
  </si>
  <si>
    <t xml:space="preserve">  Less: Preference Capital (₹ Cr)</t>
  </si>
  <si>
    <t xml:space="preserve">  Add: Cash &amp; Equivalents (₹ Cr)</t>
  </si>
  <si>
    <t>Implied Equity Value (₹ Cr)</t>
  </si>
  <si>
    <t xml:space="preserve">  Shares Outstanding (Cr)</t>
  </si>
  <si>
    <t>Implied Value per Share — Pre-DLOM (₹)</t>
  </si>
  <si>
    <t xml:space="preserve">  Less: DLOM (20%)</t>
  </si>
  <si>
    <t>Implied Value per Share — Post DLOM (₹)</t>
  </si>
  <si>
    <t>4. VALUATION SUMMARY — FOOTBALL FIELD</t>
  </si>
  <si>
    <t>Methodology</t>
  </si>
  <si>
    <t>Central (₹)</t>
  </si>
  <si>
    <t>High (₹)</t>
  </si>
  <si>
    <t>DCF (WACC-based)</t>
  </si>
  <si>
    <t>Blended Central Estimate (₹/share)</t>
  </si>
  <si>
    <t>Notes:</t>
  </si>
  <si>
    <t>Jindal Coke Ltd.</t>
  </si>
  <si>
    <t>Executive Summary : Mar 2016 - Mar 2025 : Non-Annualised : Rs. Crore</t>
  </si>
  <si>
    <t>12 mths</t>
  </si>
  <si>
    <t>INDAS</t>
  </si>
  <si>
    <t>Total income</t>
  </si>
  <si>
    <t xml:space="preserve">  Sales</t>
  </si>
  <si>
    <t xml:space="preserve">  Income from financial services</t>
  </si>
  <si>
    <t>Change in stock</t>
  </si>
  <si>
    <t>Total expenses</t>
  </si>
  <si>
    <t xml:space="preserve">  Raw materials, stores &amp; spares</t>
  </si>
  <si>
    <t xml:space="preserve">  Power, fuel &amp; water charges</t>
  </si>
  <si>
    <t xml:space="preserve">  Compensation to employees</t>
  </si>
  <si>
    <t xml:space="preserve">  Interest expenses</t>
  </si>
  <si>
    <t xml:space="preserve">  Depreciation</t>
  </si>
  <si>
    <t>Profits</t>
  </si>
  <si>
    <t xml:space="preserve">  PBDITA</t>
  </si>
  <si>
    <t xml:space="preserve">  PBDITA net of P&amp;E&amp;OI&amp;FI</t>
  </si>
  <si>
    <t xml:space="preserve">  Profit after tax (PAT)</t>
  </si>
  <si>
    <t xml:space="preserve">  PAT net of P&amp;E</t>
  </si>
  <si>
    <t>Total liabilities</t>
  </si>
  <si>
    <t xml:space="preserve">  Shareholders' funds</t>
  </si>
  <si>
    <t xml:space="preserve">    Paid up equity capital</t>
  </si>
  <si>
    <t xml:space="preserve">    Reserves and funds</t>
  </si>
  <si>
    <t xml:space="preserve">  Non-current liabilities (incl long term provns)</t>
  </si>
  <si>
    <t xml:space="preserve">    Long term borrowings</t>
  </si>
  <si>
    <t xml:space="preserve">  Current liabilities incl short term provns</t>
  </si>
  <si>
    <t xml:space="preserve">  Net worth</t>
  </si>
  <si>
    <t xml:space="preserve">    Tangible net worth</t>
  </si>
  <si>
    <t>Total assets</t>
  </si>
  <si>
    <t xml:space="preserve">  Non-current assets</t>
  </si>
  <si>
    <t xml:space="preserve">    Net fixed assets</t>
  </si>
  <si>
    <t xml:space="preserve">    Long term investments</t>
  </si>
  <si>
    <t xml:space="preserve">  Current assets (incl short term invest &amp; adv)</t>
  </si>
  <si>
    <t>Profitability ratios (%)</t>
  </si>
  <si>
    <t xml:space="preserve">  Operating margin</t>
  </si>
  <si>
    <t xml:space="preserve">  Net profit margin</t>
  </si>
  <si>
    <t xml:space="preserve">  Return on net worth</t>
  </si>
  <si>
    <t xml:space="preserve">  Return on total assets</t>
  </si>
  <si>
    <t xml:space="preserve">  Return on capital employed</t>
  </si>
  <si>
    <t>Liquidity ratios (times)</t>
  </si>
  <si>
    <t xml:space="preserve">  Current ratio</t>
  </si>
  <si>
    <t xml:space="preserve">  Debt to equity ratio</t>
  </si>
  <si>
    <t xml:space="preserve">  Interest cover</t>
  </si>
  <si>
    <t>Average cost of Funds (%)</t>
  </si>
  <si>
    <t>Efficiency ratios (times)</t>
  </si>
  <si>
    <t xml:space="preserve">  Total income / total assets</t>
  </si>
  <si>
    <t xml:space="preserve">  Sales /NFA excl reval</t>
  </si>
  <si>
    <t xml:space="preserve">  Total income / compensation to employees</t>
  </si>
  <si>
    <t>PROJECTED FINANCIAL SUMMARY (FY25A – FY29E)</t>
  </si>
  <si>
    <t>All figures in ₹ Crores unless stated otherwise. All values are formula-linked to the 3-Statement Projection and Assumptions sheets.</t>
  </si>
  <si>
    <t>INCOME STATEMENT</t>
  </si>
  <si>
    <t xml:space="preserve">  Sales Growth (%)</t>
  </si>
  <si>
    <t xml:space="preserve">  EBITDA Margin (%)</t>
  </si>
  <si>
    <t>Interest Expense</t>
  </si>
  <si>
    <t xml:space="preserve">  PAT Margin (%)</t>
  </si>
  <si>
    <t>BALANCE SHEET</t>
  </si>
  <si>
    <t>LT Borrowings</t>
  </si>
  <si>
    <t>Balance Check</t>
  </si>
  <si>
    <t>CASH FLOW STATEMENT</t>
  </si>
  <si>
    <t>KEY RATIOS</t>
  </si>
  <si>
    <t>Return on Equity (ROE) (%)</t>
  </si>
  <si>
    <t>Return on Assets (ROA) (%)</t>
  </si>
  <si>
    <t>Debt-to-Equity Ratio (x)</t>
  </si>
  <si>
    <t>Interest Coverage Ratio (x)</t>
  </si>
  <si>
    <t>Net Debt / EBITDA (x)</t>
  </si>
  <si>
    <t>DCF VALUATION SUMMARY</t>
  </si>
  <si>
    <t>Terminal Growth Rate</t>
  </si>
  <si>
    <t>Enterprise Value (₹ Cr)</t>
  </si>
  <si>
    <t xml:space="preserve">  PV of Projected FCFF</t>
  </si>
  <si>
    <t xml:space="preserve">  PV of Terminal Value</t>
  </si>
  <si>
    <t xml:space="preserve">  Terminal Value % of EV</t>
  </si>
  <si>
    <t>EV-to-Equity Bridge:</t>
  </si>
  <si>
    <t xml:space="preserve">  (+) Cash &amp; Cash Equivalents</t>
  </si>
  <si>
    <t xml:space="preserve">  (−) Total Debt</t>
  </si>
  <si>
    <t xml:space="preserve">  (−) Preference Share Capital</t>
  </si>
  <si>
    <t>Shares Outstanding (Cr)</t>
  </si>
  <si>
    <t>Intrinsic Value per Share (₹)</t>
  </si>
  <si>
    <t>KEY PROJECTION ASSUMPTIONS</t>
  </si>
  <si>
    <t>Installed Capacity (MTPA)</t>
  </si>
  <si>
    <t>flat all years</t>
  </si>
  <si>
    <t>Capacity Utilization (FY25 → FY29)</t>
  </si>
  <si>
    <t>Realization Growth (%)</t>
  </si>
  <si>
    <t>COGS (% of Sales)</t>
  </si>
  <si>
    <t>Depreciation Rate (% of Gross Block)</t>
  </si>
  <si>
    <t>straight-line proxy</t>
  </si>
  <si>
    <t>Maintenance Capex (₹ Cr / yr)</t>
  </si>
  <si>
    <t>Term Debt Movement (₹ Cr / yr) [− = drawdown]</t>
  </si>
  <si>
    <t>maturing 2036</t>
  </si>
  <si>
    <t>CARE A+ rated</t>
  </si>
  <si>
    <t>Section 115BAA</t>
  </si>
  <si>
    <t>SCENARIO RISK COMMENTARY</t>
  </si>
  <si>
    <t>Income &amp; Expenditure Summary : Mar 2016 - Mar 2025 : Non-Annualised : Rs. Crore</t>
  </si>
  <si>
    <t xml:space="preserve">    Industrial sales</t>
  </si>
  <si>
    <t xml:space="preserve">    Income from non-financial services</t>
  </si>
  <si>
    <t xml:space="preserve">    Interest income</t>
  </si>
  <si>
    <t xml:space="preserve">    Dividends</t>
  </si>
  <si>
    <t xml:space="preserve">    Income from treasury operations</t>
  </si>
  <si>
    <t xml:space="preserve">  Other income</t>
  </si>
  <si>
    <t xml:space="preserve">  Prior period and extraordinary income</t>
  </si>
  <si>
    <t xml:space="preserve">  Operating expenses</t>
  </si>
  <si>
    <t xml:space="preserve">    Raw materials, stores &amp; spares</t>
  </si>
  <si>
    <t xml:space="preserve">    Purchase of finished goods</t>
  </si>
  <si>
    <t xml:space="preserve">    Packaging and packing expenses</t>
  </si>
  <si>
    <t xml:space="preserve">    Power, fuel &amp; water charges</t>
  </si>
  <si>
    <t xml:space="preserve">    Compensation to employees</t>
  </si>
  <si>
    <t xml:space="preserve">    Indirect taxes</t>
  </si>
  <si>
    <t xml:space="preserve">    Royalties, technical know-how fees, etc</t>
  </si>
  <si>
    <t xml:space="preserve">    Rent &amp; lease rent</t>
  </si>
  <si>
    <t xml:space="preserve">    Repairs &amp; maintenance</t>
  </si>
  <si>
    <t xml:space="preserve">    Insurance premium paid</t>
  </si>
  <si>
    <t xml:space="preserve">    Outsourced manufacturing jobs</t>
  </si>
  <si>
    <t xml:space="preserve">    Outsourced professional jobs</t>
  </si>
  <si>
    <t xml:space="preserve">    Non-executive directors' fees</t>
  </si>
  <si>
    <t xml:space="preserve">    Selling &amp; distribution expenses</t>
  </si>
  <si>
    <t xml:space="preserve">    Travel expenses</t>
  </si>
  <si>
    <t xml:space="preserve">    Communications expenses</t>
  </si>
  <si>
    <t xml:space="preserve">    Printing &amp; stationery expenses</t>
  </si>
  <si>
    <t xml:space="preserve">    Miscellaneous expenditure</t>
  </si>
  <si>
    <t xml:space="preserve">    Other operational expenses</t>
  </si>
  <si>
    <t xml:space="preserve">    Provision for estimated losses on onerous contracts</t>
  </si>
  <si>
    <t xml:space="preserve">    Provision for obscolescence of raw material</t>
  </si>
  <si>
    <t xml:space="preserve">  Financial services expenses</t>
  </si>
  <si>
    <t xml:space="preserve">    Fee based financial services expenses</t>
  </si>
  <si>
    <t xml:space="preserve">    Fund based financial services expenses</t>
  </si>
  <si>
    <t xml:space="preserve">  Non-cash charges</t>
  </si>
  <si>
    <t xml:space="preserve">    Depreciation</t>
  </si>
  <si>
    <t xml:space="preserve">    Amortisation</t>
  </si>
  <si>
    <t xml:space="preserve">    Write-offs</t>
  </si>
  <si>
    <t xml:space="preserve">    Provisions</t>
  </si>
  <si>
    <t xml:space="preserve">  Prior period and extraordinary expenses</t>
  </si>
  <si>
    <t xml:space="preserve">  Provision for direct tax</t>
  </si>
  <si>
    <t>Profit after tax</t>
  </si>
  <si>
    <t>Addendum Information</t>
  </si>
  <si>
    <t>Total income net of P&amp;E</t>
  </si>
  <si>
    <t>Net sales</t>
  </si>
  <si>
    <t>Cost of goods sold</t>
  </si>
  <si>
    <t>Cost of sales</t>
  </si>
  <si>
    <t>Cost of sales per day</t>
  </si>
  <si>
    <t>Balance Sheet Summary : Mar 2016 - Mar 2025 : Non-Annualised : Rs. Crore</t>
  </si>
  <si>
    <t xml:space="preserve">  Total Capital</t>
  </si>
  <si>
    <t xml:space="preserve">    Paid up preference capital</t>
  </si>
  <si>
    <t xml:space="preserve">  Share appln money &amp; suspense account</t>
  </si>
  <si>
    <t xml:space="preserve">  Reserves and funds</t>
  </si>
  <si>
    <t xml:space="preserve">    Free reserves</t>
  </si>
  <si>
    <t xml:space="preserve">      General reserves</t>
  </si>
  <si>
    <t xml:space="preserve">      Balance as per profit &amp; loss account</t>
  </si>
  <si>
    <t xml:space="preserve">    Specific reserves</t>
  </si>
  <si>
    <t xml:space="preserve">      Security premium reserves (net of deductions)</t>
  </si>
  <si>
    <t xml:space="preserve">      Capital reserves (incl grants and subsidies)</t>
  </si>
  <si>
    <t xml:space="preserve">      Capital redemption reserves</t>
  </si>
  <si>
    <t xml:space="preserve">      Debenture and bond redemption reserves</t>
  </si>
  <si>
    <t xml:space="preserve">  Long term borrowings excl current portion</t>
  </si>
  <si>
    <t xml:space="preserve">    Long term borrowings incl current portion</t>
  </si>
  <si>
    <t xml:space="preserve">      From banks</t>
  </si>
  <si>
    <t xml:space="preserve">      From financial institutions</t>
  </si>
  <si>
    <t xml:space="preserve">      Syndicated across banks &amp; institutions</t>
  </si>
  <si>
    <t xml:space="preserve">      Debentures and bonds</t>
  </si>
  <si>
    <t xml:space="preserve">      Loans from promoters, directors &amp; shareholders</t>
  </si>
  <si>
    <t xml:space="preserve">    Less: current portion of long term borrowings</t>
  </si>
  <si>
    <t xml:space="preserve">  Deferred tax liability</t>
  </si>
  <si>
    <t xml:space="preserve">  Other long term liabilities</t>
  </si>
  <si>
    <t xml:space="preserve">  Long term provisions</t>
  </si>
  <si>
    <t xml:space="preserve">  Current liabilities &amp; provisions</t>
  </si>
  <si>
    <t xml:space="preserve">    Short term borrowings</t>
  </si>
  <si>
    <t xml:space="preserve">    Short term trade payables and acceptances</t>
  </si>
  <si>
    <t xml:space="preserve">  Net fixed assets</t>
  </si>
  <si>
    <t xml:space="preserve">    Net intangible assets</t>
  </si>
  <si>
    <t xml:space="preserve">    Land and buildings</t>
  </si>
  <si>
    <t xml:space="preserve">    Plant, machinery, computers &amp; electrical assets</t>
  </si>
  <si>
    <t xml:space="preserve">  Capital work-in-progress</t>
  </si>
  <si>
    <t xml:space="preserve">  Net pre-operative exp pending allocation</t>
  </si>
  <si>
    <t xml:space="preserve">  Long term investments</t>
  </si>
  <si>
    <t xml:space="preserve">    Long term investments in group cos</t>
  </si>
  <si>
    <t xml:space="preserve">    Long term investments in non group cos</t>
  </si>
  <si>
    <t xml:space="preserve">  Long term loans &amp; advances</t>
  </si>
  <si>
    <t xml:space="preserve">  Deferred tax assets</t>
  </si>
  <si>
    <t xml:space="preserve">  Other long term assets</t>
  </si>
  <si>
    <t xml:space="preserve">  Current assets and loans &amp; advances</t>
  </si>
  <si>
    <t xml:space="preserve">    Inventories</t>
  </si>
  <si>
    <t xml:space="preserve">    Trade &amp; bills receivables</t>
  </si>
  <si>
    <t xml:space="preserve">    Cash &amp; bank balance</t>
  </si>
  <si>
    <t xml:space="preserve">    Short term investments</t>
  </si>
  <si>
    <t xml:space="preserve">    Short term loans &amp; advances</t>
  </si>
  <si>
    <t xml:space="preserve">  Net fixed assets net of reval</t>
  </si>
  <si>
    <t xml:space="preserve">  Tangible net worth</t>
  </si>
  <si>
    <t xml:space="preserve">  Total outside liabilities</t>
  </si>
  <si>
    <t>Cash Flow Summary : Mar 2016 - Mar 2025 : Non-Annualised : Rs. Crore</t>
  </si>
  <si>
    <t>Net cash flow from operating activities</t>
  </si>
  <si>
    <t xml:space="preserve">  Net profit before tax &amp; extraordinary items</t>
  </si>
  <si>
    <t xml:space="preserve">    Add: Adj for non-cash and non-op exp</t>
  </si>
  <si>
    <t xml:space="preserve">    Less: Adj for non-cash and non-op income</t>
  </si>
  <si>
    <t xml:space="preserve">  Operating cash flow before working cap chgs</t>
  </si>
  <si>
    <t xml:space="preserve">    Add:Cash inflow due to decr/(incr) in wkg cap</t>
  </si>
  <si>
    <t xml:space="preserve">    Less:Cash outflow due to (decr)/incr in wkg cap</t>
  </si>
  <si>
    <t xml:space="preserve">  Cash flow generated from operations</t>
  </si>
  <si>
    <t xml:space="preserve">  Cash flow before extraordinary items</t>
  </si>
  <si>
    <t xml:space="preserve">    Cash outflow due to extraordinary items</t>
  </si>
  <si>
    <t xml:space="preserve">    Cash inflow due to extraordinary items</t>
  </si>
  <si>
    <t xml:space="preserve">    Cash outflow due to misc expend</t>
  </si>
  <si>
    <t>Net cash inflow from investing activities</t>
  </si>
  <si>
    <t xml:space="preserve">  Less: Cash outflow from investing activities</t>
  </si>
  <si>
    <t xml:space="preserve">  Add: Cash inflow due to investing activities</t>
  </si>
  <si>
    <t>Net cash flow from financing activities</t>
  </si>
  <si>
    <t xml:space="preserve">  Less: Cash outflow due to financing activities</t>
  </si>
  <si>
    <t xml:space="preserve">  Add: Cash inflow from financing activities</t>
  </si>
  <si>
    <t>Net change in cash &amp; cash equivalents(cl-op)</t>
  </si>
  <si>
    <t>Cash &amp; cash equivalents as at the start of the year</t>
  </si>
  <si>
    <t>Cash &amp; cash equivalents as at the end of the year</t>
  </si>
  <si>
    <t>Jindal Coke Ltd. — Production &amp; Offtake Schedule</t>
  </si>
  <si>
    <t>Bottom-up volume build: Coke + Coke Oven Gas + Coal Tar (mentor-aligned)</t>
  </si>
  <si>
    <t>Particulars</t>
  </si>
  <si>
    <t>Unit</t>
  </si>
  <si>
    <t>COKE</t>
  </si>
  <si>
    <t>Installed Capacity</t>
  </si>
  <si>
    <t xml:space="preserve">  COB-1 (existing)</t>
  </si>
  <si>
    <t>MT</t>
  </si>
  <si>
    <t xml:space="preserve">  COB-2 (new)</t>
  </si>
  <si>
    <t>Total Installed (MT)</t>
  </si>
  <si>
    <t>Capacity Utilization</t>
  </si>
  <si>
    <t xml:space="preserve">  COB-1 Utilization %</t>
  </si>
  <si>
    <t>%</t>
  </si>
  <si>
    <t xml:space="preserve">  COB-2 Utilization %</t>
  </si>
  <si>
    <t>Production</t>
  </si>
  <si>
    <t xml:space="preserve">  COB-1 Production</t>
  </si>
  <si>
    <t xml:space="preserve">  COB-2 Production</t>
  </si>
  <si>
    <t>Realization (₹/MT)</t>
  </si>
  <si>
    <t>₹/MT</t>
  </si>
  <si>
    <t>COKE OVEN GAS (by-product)</t>
  </si>
  <si>
    <t>Yield (Nm³/MT coke)</t>
  </si>
  <si>
    <t>Nm³/MT</t>
  </si>
  <si>
    <t>COG Production</t>
  </si>
  <si>
    <t>Nm³</t>
  </si>
  <si>
    <t>₹/Nm³</t>
  </si>
  <si>
    <t>COAL TAR (by-product)</t>
  </si>
  <si>
    <t>Yield (% of coke)</t>
  </si>
  <si>
    <t>Coal Tar Production</t>
  </si>
  <si>
    <t>TOTAL NET SALES (₹ Cr)</t>
  </si>
  <si>
    <t>SALES MIX</t>
  </si>
  <si>
    <t xml:space="preserve">  Coke %</t>
  </si>
  <si>
    <t xml:space="preserve">  COG %</t>
  </si>
  <si>
    <t xml:space="preserve">  Coal Tar %</t>
  </si>
  <si>
    <t>REVENUE RECONCILIATION NOTE</t>
  </si>
  <si>
    <t>FY25A reported Net Sales (from I&amp;E)</t>
  </si>
  <si>
    <t>FY25A production-based Net Sales (mentor build)</t>
  </si>
  <si>
    <t>Variance (higher actual realization vs ₹27k/MT)</t>
  </si>
  <si>
    <t>Note: 3-Statement uses actual FY25A; FY26E+ use mentor-aligned production build.</t>
  </si>
  <si>
    <t>Jindal Coke Ltd. — Depreciation Schedule (Books + Income Tax WDV)</t>
  </si>
  <si>
    <t>Driven by asset-class rates per mentor benchmark. Feeds Tax Working.</t>
  </si>
  <si>
    <t>A. BOOK DEPRECIATION (Straight Line by Asset Class)</t>
  </si>
  <si>
    <t>Asset Class</t>
  </si>
  <si>
    <t>Dep Rate</t>
  </si>
  <si>
    <t xml:space="preserve">  Buildings</t>
  </si>
  <si>
    <t xml:space="preserve">  Plant &amp; Machinery</t>
  </si>
  <si>
    <t xml:space="preserve">  Furniture &amp; Fixtures</t>
  </si>
  <si>
    <t xml:space="preserve">  Office Equipment</t>
  </si>
  <si>
    <t xml:space="preserve">  Vehicles</t>
  </si>
  <si>
    <t>Total Opening Gross Block (₹ Cr)</t>
  </si>
  <si>
    <t>Additions (Maintenance Capex)</t>
  </si>
  <si>
    <t>Book Depreciation for Year</t>
  </si>
  <si>
    <t>Total Book Depreciation (₹ Cr)</t>
  </si>
  <si>
    <t>B. INCOME TAX DEPRECIATION (WDV Method)</t>
  </si>
  <si>
    <t>Asset Block</t>
  </si>
  <si>
    <t>WDV Rate</t>
  </si>
  <si>
    <t xml:space="preserve">  Buildings (10% WDV)</t>
  </si>
  <si>
    <t xml:space="preserve">  Plant &amp; Machinery (15% WDV, incl new capex)</t>
  </si>
  <si>
    <t xml:space="preserve">  Furniture &amp; Fixtures (10% WDV)</t>
  </si>
  <si>
    <t xml:space="preserve">  Office Equipment (15% WDV)</t>
  </si>
  <si>
    <t>IT Depreciation for Year (₹ Cr)</t>
  </si>
  <si>
    <t>Timing Difference (Book − IT Dep)</t>
  </si>
  <si>
    <t>Jindal Coke Ltd. — Tax Working (MAT vs CIT under Section 115BAA)</t>
  </si>
  <si>
    <t>Pay higher of: CIT @ 25.168% on IT-taxable income OR MAT @ 17.472% on book profit</t>
  </si>
  <si>
    <t>TAX RATES</t>
  </si>
  <si>
    <t xml:space="preserve">  Corporate Income Tax (Section 115BAA)</t>
  </si>
  <si>
    <t xml:space="preserve">  Minimum Alternate Tax (MAT)</t>
  </si>
  <si>
    <t>Computation</t>
  </si>
  <si>
    <t>A. CIT CALCULATION (Taxable Income Method)</t>
  </si>
  <si>
    <t>Profit Before Tax (from 3-Stmt row 23)</t>
  </si>
  <si>
    <t>Add: Book Depreciation</t>
  </si>
  <si>
    <t>Less: IT Depreciation</t>
  </si>
  <si>
    <t>Adjusted PBT (Taxable Income before losses)</t>
  </si>
  <si>
    <t>Less: Unabsorbed Depreciation Offset</t>
  </si>
  <si>
    <t>Taxable Income</t>
  </si>
  <si>
    <t>CIT @ 25.168%</t>
  </si>
  <si>
    <t>B. MAT CALCULATION (Book Profit Method)</t>
  </si>
  <si>
    <t>Book Profit (PBT)</t>
  </si>
  <si>
    <t>MAT @ 17.472%</t>
  </si>
  <si>
    <t>C. TAX PAYABLE (Higher of CIT or MAT)</t>
  </si>
  <si>
    <t>Tax Payable (₹ Cr)</t>
  </si>
  <si>
    <t>MAT Triggered? (Y=MAT paid, N=CIT paid)</t>
  </si>
  <si>
    <t>D. DEFERRED TAX LIABILITY MOVEMENT</t>
  </si>
  <si>
    <t>Opening DTL (₹ Cr)</t>
  </si>
  <si>
    <t>DTL Movement (Timing Diff × CIT Rate)</t>
  </si>
  <si>
    <t>Closing DTL (₹ Cr)</t>
  </si>
  <si>
    <t>Jindal Coke Ltd. — Debt Schedule (Term Loan + Buyers Credit + WC)</t>
  </si>
  <si>
    <t>Annual roll-forward. Supports DSCR, FACR, ISCR calculations.</t>
  </si>
  <si>
    <t>Facility</t>
  </si>
  <si>
    <t>Rate</t>
  </si>
  <si>
    <t>TERM LOAN</t>
  </si>
  <si>
    <t>Opening TL (incl. current portion, Bank only)</t>
  </si>
  <si>
    <t>Net Draw / (Repay)</t>
  </si>
  <si>
    <t>Closing TL</t>
  </si>
  <si>
    <t>TL Interest (avg bal × rate)</t>
  </si>
  <si>
    <t>BUYERS CREDIT</t>
  </si>
  <si>
    <t>Opening BC (Total: NC + Current)</t>
  </si>
  <si>
    <t>Closing BC</t>
  </si>
  <si>
    <t>BC Interest (avg bal × 6%)</t>
  </si>
  <si>
    <t>WORKING CAPITAL BORROWINGS</t>
  </si>
  <si>
    <t>WC Interest</t>
  </si>
  <si>
    <t>BANK &amp; OTHER CHARGES</t>
  </si>
  <si>
    <t>Bank Charges (processing, LC fees)</t>
  </si>
  <si>
    <t>TOTAL DEBT</t>
  </si>
  <si>
    <t xml:space="preserve">  Total Debt (₹ Cr)</t>
  </si>
  <si>
    <t xml:space="preserve">  Total Interest (₹ Cr)</t>
  </si>
  <si>
    <t>Jindal Coke Ltd. — Working Capital Schedule (Tandon-style)</t>
  </si>
  <si>
    <t>Operating days → WC Gap → MPBF → FB/NFB split</t>
  </si>
  <si>
    <t>Item</t>
  </si>
  <si>
    <t>Days</t>
  </si>
  <si>
    <t>DRIVERS (from Assumptions)</t>
  </si>
  <si>
    <t xml:space="preserve">  Debtor Days</t>
  </si>
  <si>
    <t xml:space="preserve">  Inventory Days</t>
  </si>
  <si>
    <t xml:space="preserve">  Payable Days</t>
  </si>
  <si>
    <t xml:space="preserve">  Net WC Cycle Days</t>
  </si>
  <si>
    <t>WC BALANCES (₹ Cr)</t>
  </si>
  <si>
    <t xml:space="preserve">  Trade Receivables</t>
  </si>
  <si>
    <t xml:space="preserve">  Inventories</t>
  </si>
  <si>
    <t xml:space="preserve">  Trade Payables</t>
  </si>
  <si>
    <t xml:space="preserve">  Net Working Capital</t>
  </si>
  <si>
    <t xml:space="preserve">  Change in NWC (CFO impact)</t>
  </si>
  <si>
    <t>MPBF (Tandon 2nd method — 25% NWC rule)</t>
  </si>
  <si>
    <t xml:space="preserve">  Total Current Assets (receivables + inventory)</t>
  </si>
  <si>
    <t xml:space="preserve">  WC Gap (CA - Creditors)</t>
  </si>
  <si>
    <t xml:space="preserve">  Minimum NWC (25% of CA)</t>
  </si>
  <si>
    <t xml:space="preserve">  Maximum Permissible Bank Finance</t>
  </si>
  <si>
    <t>Jindal Coke Ltd. — DSCR / Covenant Tracking Sheet</t>
  </si>
  <si>
    <t>Formal lender-style covenant computation with inflows/outflows build</t>
  </si>
  <si>
    <t>A. CASH AVAILABLE FOR DEBT SERVICE (INFLOWS)</t>
  </si>
  <si>
    <t xml:space="preserve">  Net Profit After Tax</t>
  </si>
  <si>
    <t xml:space="preserve">  Add: Depreciation</t>
  </si>
  <si>
    <t xml:space="preserve">  Add: Interest Expense (gross-up)</t>
  </si>
  <si>
    <t xml:space="preserve">  Add: Deferred Tax (non-cash)</t>
  </si>
  <si>
    <t>Cash Available for Debt Service (CADS)</t>
  </si>
  <si>
    <t>B. DEBT SERVICE (OUTFLOWS)</t>
  </si>
  <si>
    <t xml:space="preserve">  Interest Paid</t>
  </si>
  <si>
    <t xml:space="preserve">  Principal Repayment (TL + BC scheduled)</t>
  </si>
  <si>
    <t>Total Debt Service</t>
  </si>
  <si>
    <t>C. COVENANT RATIOS</t>
  </si>
  <si>
    <t>DSCR (CADS / Total Debt Service)</t>
  </si>
  <si>
    <t>≥ 3.00x</t>
  </si>
  <si>
    <t>≤ 3.50x</t>
  </si>
  <si>
    <t>Net Debt / TNW</t>
  </si>
  <si>
    <t>≤ 2.00x</t>
  </si>
  <si>
    <t>D. COVENANT STATUS SUMMARY</t>
  </si>
  <si>
    <t xml:space="preserve">  DSCR Compliant?</t>
  </si>
  <si>
    <t xml:space="preserve">  ISCR Compliant?</t>
  </si>
  <si>
    <t xml:space="preserve">  FACR Compliant?</t>
  </si>
  <si>
    <t xml:space="preserve">  Debt/EBITDA Compliant?</t>
  </si>
  <si>
    <t xml:space="preserve">  Net Debt/TNW Compliant?</t>
  </si>
  <si>
    <t>CONSERVATIVE / LENDER VIEW DCF</t>
  </si>
  <si>
    <t>Conservative Assumptions</t>
  </si>
  <si>
    <t>WACC (Lender View)</t>
  </si>
  <si>
    <t>Terminal Tax Rate</t>
  </si>
  <si>
    <t>FCFF Projection (from Base Case)</t>
  </si>
  <si>
    <t>Terminal Value &amp; Enterprise Value</t>
  </si>
  <si>
    <t>ENTERPRISE VALUE TO EQUITY VALUE BRIDGE</t>
  </si>
  <si>
    <t>VALUE PER SHARE</t>
  </si>
  <si>
    <t>DUAL-SCENARIO VALUATION SUMMARY</t>
  </si>
  <si>
    <t>Scenario</t>
  </si>
  <si>
    <t>Enterprise Value</t>
  </si>
  <si>
    <t>Equity Value</t>
  </si>
  <si>
    <t>Value / Share (₹)</t>
  </si>
  <si>
    <t>Equity Investor View (Base)</t>
  </si>
  <si>
    <t>Lender / Conservative View</t>
  </si>
  <si>
    <t>Blended Midpoint</t>
  </si>
  <si>
    <t>FY25A REVENUE BRIDGE — Production Build vs Actual</t>
  </si>
  <si>
    <t>Mentor-build coke revenue (513,748 MT × ₹27,000/MT)</t>
  </si>
  <si>
    <t>Implied actual coke realization (₹/MT)</t>
  </si>
  <si>
    <t>Realization premium vs mentor benchmark (₹27,000/MT)</t>
  </si>
  <si>
    <t>Revenue impact of higher realization (₹ Cr)</t>
  </si>
  <si>
    <t>By-product revenue (COG + Coal Tar) — aligned</t>
  </si>
  <si>
    <t>Total mentor-build Net Sales</t>
  </si>
  <si>
    <t>Actual FY25A Net Sales (from I&amp;E)</t>
  </si>
  <si>
    <t>Variance (Actual − Mentor Build)</t>
  </si>
  <si>
    <t>FY25A realization of ~₹30,711/MT reflects residual FY23–24 pricing tailwinds. FY26E+ conservatively rebased to ₹27,000/MT per mentor benchmark, growing 2% YoY.</t>
  </si>
  <si>
    <t>FY25A EBITDA Margin (%)</t>
  </si>
  <si>
    <t>(+) CDQ cost saving as % of FY29E sales</t>
  </si>
  <si>
    <t>(+) Operating leverage on Employee + SGA</t>
  </si>
  <si>
    <t>Sum of drivers</t>
  </si>
  <si>
    <t>Implied FY29E EBITDA Margin</t>
  </si>
  <si>
    <t>Actual FY29E EBITDA Margin (model)</t>
  </si>
  <si>
    <t>Reconciliation check (Δ)</t>
  </si>
  <si>
    <t>Margin expansion is driven by three structural factors: (1) COGS% compression from operating leverage on fixed conversion costs at higher utilization, (2) CDQ heat recovery captive power saving of ₹45.6 Cr/year from FY27E, (3) fixed-cost dilution on employee and SGA expenses as revenue scales on the expanded capacity base.</t>
  </si>
  <si>
    <t>MAT Rate (for FCFF)</t>
  </si>
  <si>
    <t>(-) Taxes on EBIT (@ MAT 17.47% explicit / 25.17% terminal)</t>
  </si>
  <si>
    <t>Terminal Year FCFF (CIT-taxed)</t>
  </si>
  <si>
    <t>FY30E</t>
  </si>
  <si>
    <t>FY31E</t>
  </si>
  <si>
    <t>FY32E</t>
  </si>
  <si>
    <t>FY33E</t>
  </si>
  <si>
    <t>Sum of PV of Explicit Period FCFF (FY26E–FY33E)</t>
  </si>
  <si>
    <t>Final Year FCFF (FY33E)</t>
  </si>
  <si>
    <t>Explicit Forecast Period  (FY25A = reference-only; FY26E–FY33E = valued)</t>
  </si>
  <si>
    <t>WACC = 14.10%  |  Terminal Growth = 0%  |  Uses same FCFF projections (FY26E–FY33E) from Base Case above</t>
  </si>
  <si>
    <t>FY33E Terminal EBITDA (₹ Cr)</t>
  </si>
  <si>
    <t>8. EXTENDED FORECAST CHECKS (FY30E–FY33E)</t>
  </si>
  <si>
    <t>Cash Flow:</t>
  </si>
  <si>
    <t>Depreciation:</t>
  </si>
  <si>
    <t>BS Balance: Total Assets = Total E+L (FY30E)</t>
  </si>
  <si>
    <t>BS Balance: Total Assets = Total E+L (FY31E)</t>
  </si>
  <si>
    <t>BS Balance: Total Assets = Total E+L (FY32E)</t>
  </si>
  <si>
    <t>BS Balance: Total Assets = Total E+L (FY33E)</t>
  </si>
  <si>
    <t>3-Stmt CF: Closing Cash = BS Cash (FY30E)</t>
  </si>
  <si>
    <t>3-Stmt CF: Closing Cash = BS Cash (FY31E)</t>
  </si>
  <si>
    <t>3-Stmt CF: Closing Cash = BS Cash (FY32E)</t>
  </si>
  <si>
    <t>3-Stmt CF: Closing Cash = BS Cash (FY33E)</t>
  </si>
  <si>
    <t>Depreciation: Schedule = 3-Stmt P&amp;L (FY30E)</t>
  </si>
  <si>
    <t>Depreciation: Schedule = 3-Stmt P&amp;L (FY31E)</t>
  </si>
  <si>
    <t>Depreciation: Schedule = 3-Stmt P&amp;L (FY32E)</t>
  </si>
  <si>
    <t>Depreciation: Schedule = 3-Stmt P&amp;L (FY33E)</t>
  </si>
  <si>
    <t>2-Way Data Table: Implied Intrinsic Value per Share (₹)  |  8-Year Explicit Forecast (FY26E–FY33E)  |  Stress Testing WACC vs. Terminal Growth Rate</t>
  </si>
  <si>
    <t>WACC = 11.5%  |  g = 4.0%</t>
  </si>
  <si>
    <t>Jindal Coke Ltd. — Financial Model Navigation Index</t>
  </si>
  <si>
    <t>Model Version: EXP v2.0  |  Last Updated: Apr 2026  |  Prepared by: Divyanshu Vatsa</t>
  </si>
  <si>
    <t>Sheet Name</t>
  </si>
  <si>
    <t>Purpose</t>
  </si>
  <si>
    <t>Key Outputs</t>
  </si>
  <si>
    <t>Model Checks</t>
  </si>
  <si>
    <t>Automated integrity validation</t>
  </si>
  <si>
    <t>47+ PASS/FAIL tests (BS balance, cash, debt, dep)</t>
  </si>
  <si>
    <t>Bull / Base / Bear assumption toggle</t>
  </si>
  <si>
    <t>Active scenario drives all projections &amp; DCF</t>
  </si>
  <si>
    <t>Dashboard</t>
  </si>
  <si>
    <t>Executive summary with charts</t>
  </si>
  <si>
    <t>Key metrics, valuation, covenant tracker, thesis</t>
  </si>
  <si>
    <t>Historical FS</t>
  </si>
  <si>
    <t>10-year cleaned financials (FY16–FY25)</t>
  </si>
  <si>
    <t>P&amp;L, BS, CF with formula references</t>
  </si>
  <si>
    <t>Ratio Analysis</t>
  </si>
  <si>
    <t>35+ ratios with interpretations</t>
  </si>
  <si>
    <t>Growth, profitability, leverage, efficiency</t>
  </si>
  <si>
    <t>Common Size Statements</t>
  </si>
  <si>
    <t>Percentage-of-total analysis</t>
  </si>
  <si>
    <t>Structural composition trends</t>
  </si>
  <si>
    <t>Assumptions &amp; Drivers</t>
  </si>
  <si>
    <t>All projection inputs &amp; cost drivers</t>
  </si>
  <si>
    <t>Revenue, COGS decomposition, WC, capex, debt, tax</t>
  </si>
  <si>
    <t>Integrated P&amp;L, BS, CF (FY25A–FY33E)</t>
  </si>
  <si>
    <t>Core financial outputs + balance checks</t>
  </si>
  <si>
    <t>WACC &amp; DCF Valuation</t>
  </si>
  <si>
    <t>DCF model with WACC build</t>
  </si>
  <si>
    <t>Sensitivity Analysis</t>
  </si>
  <si>
    <t>2-way WACC × Terminal g table</t>
  </si>
  <si>
    <t>Comparable Company Analysis</t>
  </si>
  <si>
    <t>EV/EBITDA comps (Sandur Manganese)</t>
  </si>
  <si>
    <t>Blended valuation cross-check</t>
  </si>
  <si>
    <t>Production &amp; Offtake</t>
  </si>
  <si>
    <t>Bottom-up volume × price build</t>
  </si>
  <si>
    <t>Revenue reconciliation to mentor benchmark</t>
  </si>
  <si>
    <t>Depreciation Schedule</t>
  </si>
  <si>
    <t>Book SL + IT WDV by asset class</t>
  </si>
  <si>
    <t>Feeds P&amp;L depreciation and Tax Working</t>
  </si>
  <si>
    <t>Tax Working</t>
  </si>
  <si>
    <t>CIT vs MAT dual test</t>
  </si>
  <si>
    <t>Tax expense + DTL movement</t>
  </si>
  <si>
    <t>Debt Schedule</t>
  </si>
  <si>
    <t>TL + BC + WC + Revolver roll-forward</t>
  </si>
  <si>
    <t>Interest expense + debt balances</t>
  </si>
  <si>
    <t>Working Capital Schedule</t>
  </si>
  <si>
    <t>Tandon-style MPBF calculation</t>
  </si>
  <si>
    <t>WC gap + bank finance limit</t>
  </si>
  <si>
    <t>DSCR Covenant Tracker</t>
  </si>
  <si>
    <t>Lender covenant compliance</t>
  </si>
  <si>
    <t>DSCR, ISCR, FACR status checks</t>
  </si>
  <si>
    <t>COLOR CODING LEGEND</t>
  </si>
  <si>
    <t>■  Green Text = Cross-Sheet Link (References another tab)</t>
  </si>
  <si>
    <t>■  Red Text = External Link (References another workbook)</t>
  </si>
  <si>
    <t>■  Yellow Background = Key Assumption Needing Attention</t>
  </si>
  <si>
    <t>The 3-Statement Projection</t>
  </si>
  <si>
    <t>Flat Revenue After Full Ramp (Y/N)</t>
  </si>
  <si>
    <t>N</t>
  </si>
  <si>
    <t>Y</t>
  </si>
  <si>
    <t>Bear case: Revenue flattens after full COB-2 ramp-up per mentor benchmark — tests downside if no pricing power exists</t>
  </si>
  <si>
    <t>FY26E Buyback Amount (₹ Cr)</t>
  </si>
  <si>
    <t>Mentor: ₹179.95 Cr lump-sum equity buyback from JSL in FY26E. Bear: no buyback (liquidity conservation).</t>
  </si>
  <si>
    <t>FY26E RM%=75% (favorable coal pricing for new COB-2). Large drop reflects mentor's cost structure.</t>
  </si>
  <si>
    <t>FY27E RM% normalizes to 80.5% (higher coal consumption on full COB-2 ramp). COGS% rises from FY26E low.</t>
  </si>
  <si>
    <t>COGS% Taper — FY26 (coal pricing benefit)</t>
  </si>
  <si>
    <t>COGS% Taper — FY27 (RM normalization)</t>
  </si>
  <si>
    <t>COGS% Taper — FY28+ (steady-state)</t>
  </si>
  <si>
    <t>Gradual improvement from operating leverage. Applied from FY28E onward to terminal.</t>
  </si>
  <si>
    <t>EBITDA MARGIN BRIDGE &amp; COGS DECOMPOSITION (Mentor-Aligned)</t>
  </si>
  <si>
    <t>(+) COGS% V-shape effect (82% → 79% → 80.6%)</t>
  </si>
  <si>
    <t>COGS DECOMPOSITION (Memo — Mentor-Aligned, Not Linked to P&amp;L)</t>
  </si>
  <si>
    <t>Shows what the COGS% represents in bottom-up terms. The COGS% above is the binding driver.</t>
  </si>
  <si>
    <t>FY29E+</t>
  </si>
  <si>
    <t xml:space="preserve">  Raw Material Consumed (% of Sales)</t>
  </si>
  <si>
    <t xml:space="preserve">  Purchase of Stock in Trade</t>
  </si>
  <si>
    <t xml:space="preserve">  Changes in Inventories of FG/WIP</t>
  </si>
  <si>
    <t xml:space="preserve">  Consumption of Stores &amp; Spares (% Sales)</t>
  </si>
  <si>
    <t xml:space="preserve">  Power &amp; Fuel (% of Sales)</t>
  </si>
  <si>
    <t xml:space="preserve">  Other Manufacturing Expenses (% of Sales)</t>
  </si>
  <si>
    <t xml:space="preserve">  Repairs &amp; Maintenance (% of Sales)</t>
  </si>
  <si>
    <t xml:space="preserve">  Freight &amp; Forwarding (% of Sales)</t>
  </si>
  <si>
    <t xml:space="preserve">  CDQ Cost Saving (₹ Cr)</t>
  </si>
  <si>
    <t xml:space="preserve">  Total Implied COGS (₹ Cr)</t>
  </si>
  <si>
    <t xml:space="preserve">  Implied COGS % — Cross-Check</t>
  </si>
  <si>
    <t>WC Outstanding (conditional revolver)</t>
  </si>
  <si>
    <t>← Analysis &amp; Projections above  |  Source Data below →</t>
  </si>
  <si>
    <t>Revenue Bridge Note &amp; Model Metadata</t>
  </si>
  <si>
    <t>Note: FY25A Net Sales of ₹1,871 Cr includes ₹191 Cr of realization premium vs the ₹27,000/MT mentor benchmark. FY26E+ projections are rebased to the mentor benchmark. The apparent FY25A→FY26E growth of 13.1% understates true volume-driven growth of ~25.9%.</t>
  </si>
  <si>
    <t>FY16A</t>
  </si>
  <si>
    <t>FY17A</t>
  </si>
  <si>
    <t>FY18A</t>
  </si>
  <si>
    <t>FY19A</t>
  </si>
  <si>
    <t>FY20A</t>
  </si>
  <si>
    <t>FY21A</t>
  </si>
  <si>
    <t>FY22A</t>
  </si>
  <si>
    <t>FY23A</t>
  </si>
  <si>
    <t>Source: Capitaline Plus / CMIE Database | Jindal Coke Ltd. (Standalone) | FY16–FY25 Actuals</t>
  </si>
  <si>
    <t>Shanxi Meijin Energy Co.</t>
  </si>
  <si>
    <t>Listed (China)</t>
  </si>
  <si>
    <t>Bloomberg</t>
  </si>
  <si>
    <t>China Risun Group Ltd.</t>
  </si>
  <si>
    <t>Listed (HK)</t>
  </si>
  <si>
    <t>Kailuan Energy Chemical Co.</t>
  </si>
  <si>
    <t>2. REFERENCE MULTIPLE — EXPANDED PEER SET</t>
  </si>
  <si>
    <t>Sandur Manganese (India, diversified mining)</t>
  </si>
  <si>
    <t>Chinese Coke Producers — Median</t>
  </si>
  <si>
    <t>Chinese Coke Producers — Range</t>
  </si>
  <si>
    <t>4.9x – 5.3x</t>
  </si>
  <si>
    <t>Applied Range for JCL (coke-appropriate)</t>
  </si>
  <si>
    <t>5.0x – 7.0x</t>
  </si>
  <si>
    <t>Low
(5.0x)</t>
  </si>
  <si>
    <t>Central
(6.0x)</t>
  </si>
  <si>
    <t>High
(7.0x)</t>
  </si>
  <si>
    <t>EV/EBITDA Comps — Post DLOM (5.0x–7.0x)</t>
  </si>
  <si>
    <t>1. Sandur Manganese is a diversified mining company — coke is a secondary segment (~36% of revenue). Its 10.6x multiple reflects mining-segment value and is NOT directly applicable to JCL's pure coke conversion model. Shown for Indian context only.</t>
  </si>
  <si>
    <t>2. Chinese coke producers (Shanxi Meijin, China Risun, Kailuan Energy) are pure-play/majority-coke businesses trading at 4.9–5.3x — the most appropriate reference range for JCL's coke processing business model.</t>
  </si>
  <si>
    <t>3. Applied range of 5.0–7.0x reflects China median plus a premium for: (i) India's structural steel demand growth (National Steel Policy targets 300 MTPA by 2030), (ii) JCL's COB-2 capacity ramp-up, (iii) CDQ cost efficiency advantage.</t>
  </si>
  <si>
    <t>4. DLOM of 20% applied for illiquidity — JCL is unlisted. Standard range per Pratt's Valuation is 15–30% for private companies.</t>
  </si>
  <si>
    <t>6. Gujarat NRE Coke — India's largest independent coke producer (1.46 MTPA) — under CIRP since 2018. No usable valuation data. Confirms the scarcity of listed Indian coke peers.</t>
  </si>
  <si>
    <t>WACC = 12.5%  |  g = 0.0%</t>
  </si>
  <si>
    <t>WACC = 13.5%  |  g = 0.0%</t>
  </si>
  <si>
    <t>Bear (WACC+1%, g 0%)</t>
  </si>
  <si>
    <t>Bull (WACC-1%, g 4%)</t>
  </si>
  <si>
    <t>Base Case (WACC = 12.5%, g = 0.0%)</t>
  </si>
  <si>
    <t>JCL has completed a transformative capacity expansion, nearly doubling met coke production from 0.43 MTPA (COB-1 only) to 0.779 MTPA (COB-1 + COB-2). The ₹433 Cr brownfield project was capitalised in FY25A (CWIP → Net Fixed Assets). COB-1 runs at 91.2% utilisation producing ~391,148 MT/year, while COB-2 ramps from 35% (FY25A) to 80% by FY28E. At full ramp, total sales volume reaches ~671,148 MT. This positions JCL as one of the larger standalone met coke producers in India, directly plugged into structural demand from the domestic steel sector.</t>
  </si>
  <si>
    <t>After extreme margin volatility through the commodity supercycle (EBITDA margin peaked at 30% in FY22, troughed at 10% in FY24–FY25), the model projects a sharp recovery to 18.2% in FY26E as the lower COGS% (79%, driven by favourable coal pricing for COB-2 commissioning) kicks in. Margins then normalise to ~16.3–16.7% from FY27E onwards as raw material costs revert to 80.5–80.8% of revenue. CDQ heat recovery adds ~₹40–46 Cr/year in cost savings (200bps margin lift). The V-shaped COGS% trajectory — 82% (FY25A) → 79% (FY26E) → 81% (FY27E) → 80.5% steady state — mirrors the mentor's cost structure. The 8-year explicit forecast (FY26E–FY33E) captures the full ramp-up and normalisation cycle.</t>
  </si>
  <si>
    <t>FY25A total debt stands at ~₹546 Cr (Bank TL ₹285 + Buyers Credit ₹261). A TL refinancing in FY26E draws +₹146 Cr (gross TL → ₹431 Cr) but Buyers Credit starts running off: ₹152 Cr (FY26) → ₹5 Cr (FY27) → ₹0 (FY28). Bank TL then amortises ₹34–45 Cr/year through FY33E. The FY26E ₹180 Cr share buyback compresses cash to ~₹32 Cr, but the strong cash generation trajectory (PAT ₹230+ Cr/year) rebuilds cash rapidly. Net Debt turns negative by FY29E as cash exceeds total borrowings. By FY33E, total debt drops to ~₹127 Cr. ISCR improves from 6.0x (FY25A) to 23.6x by FY33E; Net Debt/EBITDA from 1.7x to –2.2x. The conditional revolver draws only when cash falls below ₹50 Cr, reflecting disciplined liquidity management.</t>
  </si>
  <si>
    <t>Jindal Coke Ltd. — 3-Statement Financial Projection (FY24A – FY33E)</t>
  </si>
  <si>
    <t>Held flat at the FY24 historical percentage of 0.93%. Assumes headcount scales linearly with the new capacity addition, maintaining historical operating leverage. Note: Mentor model uses flat ₹12.45 Cr/year (no scaling with revenue). Our model's 0.93%-of-sales approach adds ₹7-9 Cr/year vs mentor from FY26E onward. This is a conservative assumption — if management confirms headcount does not scale with capacity utilization, consider switching to flat ₹12.45 Cr.</t>
  </si>
  <si>
    <t>Base case: flat realization per mentor benchmark. Bull: 3% escalation for inflation pass-through. Bear: 0% (same as base — no pricing power in downcycle).</t>
  </si>
  <si>
    <t>Note: The binding COGS% (row 13) is the model driver. The decomposition above is a memo-only cross-check showing the mentor's bottom-up cost structure. The ~4-6pp gap between binding COGS% and decomposition reflects: (1) different treatment of inventory changes, (2) CDQ savings netted in binding COGS but shown separately in decomposition, (3) rounding across 8 cost sub-categories. The binding COGS% is calibrated to produce EBITDA margins in the 16-17% range, consistent with mid-cycle coke spreads and CDQ benefits.</t>
  </si>
  <si>
    <t>Conservative Value per Share (WACC 14.1%)</t>
  </si>
  <si>
    <t>Lender/Conservative (WACC 14.1%)</t>
  </si>
  <si>
    <t>Note: Primary WACC = 14.10% (lender-conservative, mentor-aligned). Equity-investor WACC = 12.51% shown as sensitivity. Both use terminal g = 0%.</t>
  </si>
  <si>
    <t>Other Income (₹ Cr)</t>
  </si>
  <si>
    <t>FY26E one-time Battery-2 commissioning gains. Drops to zero from FY27E as surplus cash deployed for debt repayment.</t>
  </si>
  <si>
    <t>Jindal Coke Ltd. — Term Loan Repayment Schedule</t>
  </si>
  <si>
    <t>All figures in ₹ Crores. Source: Mentor's repayment schedule dated Nov 2025.</t>
  </si>
  <si>
    <t>Opening TL Balance</t>
  </si>
  <si>
    <t>Scheduled Repayment</t>
  </si>
  <si>
    <t>New Drawdown (FY26E: ₹146.23 Cr)</t>
  </si>
  <si>
    <t>Closing TL Balance</t>
  </si>
  <si>
    <t>Repayment as % of Opening</t>
  </si>
  <si>
    <t>Cumulative Repayment from FY26E</t>
  </si>
  <si>
    <t>Amortization Note</t>
  </si>
  <si>
    <t>TL repayment schedule per mentor model: ₹34.4 Cr (FY27E), ₹45.1 Cr (FY28E), ₹45.3 Cr (FY29E), ₹45.0 Cr (FY30E–FY33E). New ₹146.23 Cr drawdown in FY26E for Battery-2 refinancing. Total cumulative repayment FY26E–FY33E: ₹159 Cr (net of FY26E drawdown).</t>
  </si>
  <si>
    <t>5. Chinese comp figures sourced from Bloomberg/Wind (CY24 actuals, accessed Nov 2025). EV/EBITDA multiples cross-checked against FactSet consensus. All figures converted to ₹ Cr at prevailing USD/CNY and USD/INR rates.</t>
  </si>
  <si>
    <t>7. KNOWN DEVIATIONS FROM MENTOR MODEL</t>
  </si>
  <si>
    <t>Deviation</t>
  </si>
  <si>
    <t>EXP Model</t>
  </si>
  <si>
    <t>Mentor</t>
  </si>
  <si>
    <t>Impact</t>
  </si>
  <si>
    <t>Employee costs</t>
  </si>
  <si>
    <t>0.93% of sales (₹20–23 Cr)</t>
  </si>
  <si>
    <t>Flat ₹12.45 Cr/yr</t>
  </si>
  <si>
    <t>Conservative: +₹7–9 Cr/yr cost</t>
  </si>
  <si>
    <t>Forecast horizon</t>
  </si>
  <si>
    <t>8 years (FY26E–FY33E)</t>
  </si>
  <si>
    <t>6 years (FY26E–FY31E)</t>
  </si>
  <si>
    <t>More explicit FCFF, less TV reliance</t>
  </si>
  <si>
    <t>Coke price growth</t>
  </si>
  <si>
    <t>0% base (2% bull)</t>
  </si>
  <si>
    <t>0% flat all scenarios</t>
  </si>
  <si>
    <t>Aligned in base case</t>
  </si>
  <si>
    <t>Depreciation method</t>
  </si>
  <si>
    <t>Asset-class SL + IT WDV</t>
  </si>
  <si>
    <t>Capex-driven single rate</t>
  </si>
  <si>
    <t>More granular, similar output</t>
  </si>
  <si>
    <t>Tax computation</t>
  </si>
  <si>
    <t>Aligned</t>
  </si>
  <si>
    <t>Revolver facility</t>
  </si>
  <si>
    <t>₹30 Cr conditional draw</t>
  </si>
  <si>
    <t>Not modeled</t>
  </si>
  <si>
    <t>Adds liquidity realism</t>
  </si>
  <si>
    <t>The sheets below contain unprocessed Capitaline/CMIE source data used to build the Historical FS sheet.</t>
  </si>
  <si>
    <t>Other Current Liabilities (held flat at FY25A level)</t>
  </si>
  <si>
    <t>OTHER BALANCE SHEET ASSUMPTIONS</t>
  </si>
  <si>
    <t>Other LT Assets — Annual Decline (₹ Cr)</t>
  </si>
  <si>
    <t>Estimated annual amortization/realization of deferred tax assets and other long-term prepaid items. Floors at zero.</t>
  </si>
  <si>
    <t>9. SCENARIO VALIDATION GUARDRAILS</t>
  </si>
  <si>
    <t>Check</t>
  </si>
  <si>
    <t>Active Scenario Valid?</t>
  </si>
  <si>
    <t>COGS% Bull &lt; Base &lt; Bear?</t>
  </si>
  <si>
    <t>Interest Rate Bull ≤ Base ≤ Bear?</t>
  </si>
  <si>
    <t>Terminal g Bull ≥ Base ≥ Bear?</t>
  </si>
  <si>
    <t>Cross-Model Consistency:</t>
  </si>
  <si>
    <t>Revenue: Production = 3-Stmt Net Sales (FY26E)</t>
  </si>
  <si>
    <t>Revenue: Production = 3-Stmt Net Sales (FY27E)</t>
  </si>
  <si>
    <t>NWC: Working Capital = DCF NWC (FY26E)</t>
  </si>
  <si>
    <t>NWC: Working Capital = DCF NWC (FY27E)</t>
  </si>
  <si>
    <t>Sanity Checks:</t>
  </si>
  <si>
    <t>DSCR Covenant ≥ 1.20x all projection years</t>
  </si>
  <si>
    <t>No negative cash balance in any projection year</t>
  </si>
  <si>
    <t>Total Assets = Total Equity + Liabilities (FY26E)</t>
  </si>
  <si>
    <t xml:space="preserve">New battery commissioning ramp-up </t>
  </si>
  <si>
    <t>Sales growth is highly volatile, showing sharp spikes (FY17, FY22–23) and contractions (FY20, FY24), indicating cyclical demand or external shocks.
The recovery in FY25 suggests stabilization, but inconsistency implies dependence on market conditions rather than steady organic growth.</t>
  </si>
  <si>
    <t>EBITDA growth is even more erratic than sales, with extreme swings (e.g., +190% in FY21, -61% in FY20), reflecting fluctuating operating efficiency.
This indicates inconsistent cost control or operating leverage, where margins expand sharply in upcycles but compress significantly in downturns.</t>
  </si>
  <si>
    <t>EBIT growth mirrors EBITDA volatility but with sharper movements, highlighting the additional impact of depreciation and fixed costs.
Large swings (e.g., +288% in FY21, -71% in FY20) suggest high operating leverage, making profitability highly sensitive to revenue changes.</t>
  </si>
  <si>
    <t>8. SENSITIVITY MATRIX — Implied Value per Share (₹)</t>
  </si>
  <si>
    <t>WACC  ↓  /  g  →</t>
  </si>
  <si>
    <t>Lender view (WACC 14.1%, g=0%) is handled separately on WACC &amp; DCF!A104:H149 and shown on Dashboard C53.</t>
  </si>
  <si>
    <t>Base case for this matrix: WACC 12.51%, g=3% → ₹636/sh (cell E136, highlighted). Note the primary model uses g=0% → ₹515/sh; the matrix grid explores the range g=2%–5% (standard practice) to stress-test terminal assumptions. WACC range: 10.5%–16.5% (base ±2%/+4%).</t>
  </si>
  <si>
    <t>WACC (rows) × Terminal Growth (cols). Grid explores WACC 10.5%–16.5% and g 2.0%–5.0%. Base-case matrix cell (WACC 12.51%, g=3%) highlighted at E136 = ₹636/sh. Primary model base case uses g=0% → ₹515/sh (see Mentor Reconciliation). Source: 'WACC &amp; DCF Valuation'!A84:H91</t>
  </si>
  <si>
    <t>10. WACC &amp; VALUATION GOVERNANCE (single source of truth — referenced by 'WACC &amp; DCF Valuation' &amp; 'Sensitivity Analysis')</t>
  </si>
  <si>
    <t>Rationale / Source</t>
  </si>
  <si>
    <t>Risk-free Rate (Rf, 10-yr G-Sec)</t>
  </si>
  <si>
    <t>10-yr Indian G-Sec yield. Bull = lower-rate environment, Bear = inflation-driven repricing.</t>
  </si>
  <si>
    <t>Damodaran India ERP (mature equity premium + India CRP).</t>
  </si>
  <si>
    <t>Preference Capital — Outstanding (₹ Cr)</t>
  </si>
  <si>
    <t>10.926 Cr × ₹10 face value pref shares (FY25A close per Balance Sheet Summary).</t>
  </si>
  <si>
    <t>Coupon on cumulative redeemable preference shares.</t>
  </si>
  <si>
    <t>Target Debt-to-Equity (D/E)</t>
  </si>
  <si>
    <t>Target capital structure for WACC weights (deleveraging case = lower D/E).</t>
  </si>
  <si>
    <t>Equity Shares Outstanding (Crore)</t>
  </si>
  <si>
    <t>Paid-up equity capital ₹32.43 Cr ÷ ₹10 face value = 3.243 Cr shares.</t>
  </si>
  <si>
    <t>Lender / Conservative WACC</t>
  </si>
  <si>
    <t>Lender-view discount rate for credit/downside valuation. Mentor benchmark = 14.10%.</t>
  </si>
  <si>
    <t>Maintenance Capex Rate (% of Opening Gross Block)</t>
  </si>
  <si>
    <t>Industry-standard 2.5% of opening gross block. Single-source rate referenced by D58:L58.</t>
  </si>
  <si>
    <t>DIVIDEND POLICY</t>
  </si>
  <si>
    <t>Minimum Dividend Floor (₹ Cr, fixed)</t>
  </si>
  <si>
    <t>Fixed annual base distribution to equity holders (preference dividend coverage + minimum equity payout). Single-source value referenced by 3-Statement Projection D94:K94.</t>
  </si>
  <si>
    <t>Variable Dividend Payout Ratio (% of PAT)</t>
  </si>
  <si>
    <t>Variable component on top of the fixed floor. Single-source value referenced by 3-Statement Projection D94:K94.</t>
  </si>
  <si>
    <t>Inter-company Loan / Security Deposit (₹ Cr) — maintained FY26E–FY27E, recovered FY28E</t>
  </si>
  <si>
    <t>₹150 Cr advance to JSL group for capacity commissioning support per management guidance. Held flat FY26E–FY27E, fully recovered from FY28E onward.</t>
  </si>
  <si>
    <t>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</si>
</sst>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0.0%"/>
    <numFmt numFmtId="165" formatCode="\₹#,##0"/>
    <numFmt numFmtId="166" formatCode="0.00\x"/>
    <numFmt numFmtId="167" formatCode="\₹#,##0.00"/>
    <numFmt numFmtId="168" formatCode="0.00%;\(0.00%\);\-"/>
    <numFmt numFmtId="169" formatCode="0.0;\(0.0\);\-"/>
    <numFmt numFmtId="170" formatCode="#,##0.0"/>
    <numFmt numFmtId="171" formatCode="mmm\-yy"/>
    <numFmt numFmtId="172" formatCode="&quot;₹ &quot;#,##0.0;&quot;(₹ &quot;#,##0.0\);\-"/>
    <numFmt numFmtId="173" formatCode="&quot;₹ &quot;#,##0.0;&quot;₹ -&quot;#,##0.0;\-"/>
    <numFmt numFmtId="174" formatCode="0.0"/>
    <numFmt numFmtId="175" formatCode="#,##0.00;\(#,##0.00\);\-"/>
    <numFmt numFmtId="176" formatCode="0.000"/>
    <numFmt numFmtId="177" formatCode="0.0000"/>
    <numFmt numFmtId="178" formatCode="0.0\x"/>
    <numFmt numFmtId="179" formatCode="#,##0.000"/>
    <numFmt numFmtId="180" formatCode="&quot;₹ &quot;#,##0.00&quot; Cr&quot;"/>
    <numFmt numFmtId="181" formatCode="&quot;₹&quot;#,##0"/>
    <numFmt numFmtId="182" formatCode="\+0.00%;\-0.00%;\-"/>
    <numFmt numFmtId="183" formatCode="#,##0.0;\(#,##0.0\);&quot;-&quot;"/>
    <numFmt numFmtId="184" formatCode="#,##0;\(#,##0\);&quot;-&quot;"/>
    <numFmt numFmtId="185" formatCode="#,##0.00;\(#,##0.00\);&quot;-&quot;"/>
    <numFmt numFmtId="186" formatCode="0.00\x;\(0.00\x\);&quot;-&quot;"/>
    <numFmt numFmtId="187" formatCode="0.000%"/>
    <numFmt numFmtId="188" formatCode="#,##0.00;\(#,##0.00\);&quot;—&quot;"/>
    <numFmt numFmtId="189" formatCode="#,##0;\(#,##0\);&quot;—&quot;"/>
    <numFmt numFmtId="190" formatCode="0.00&quot;x&quot;"/>
    <numFmt numFmtId="192" formatCode="\(#,##0.00\);\(#,##0.00\);\-"/>
  </numFmts>
  <fonts count="121" x14ac:knownFonts="1">
    <font>
      <sz val="11"/>
      <color theme="1"/>
      <name val="Calibri"/>
      <family val="2"/>
      <charset val="1"/>
    </font>
    <font>
      <sz val="10"/>
      <name val="Arial"/>
      <family val="2"/>
    </font>
    <font>
      <b/>
      <sz val="14"/>
      <color rgb="FF1F3864"/>
      <name val="Arial"/>
      <family val="2"/>
      <charset val="1"/>
    </font>
    <font>
      <i/>
      <sz val="9"/>
      <color rgb="FF808080"/>
      <name val="Arial"/>
      <family val="2"/>
      <charset val="1"/>
    </font>
    <font>
      <b/>
      <sz val="10"/>
      <color rgb="FFFFFFFF"/>
      <name val="Arial"/>
      <family val="2"/>
      <charset val="1"/>
    </font>
    <font>
      <sz val="10"/>
      <color theme="1"/>
      <name val="Arial"/>
      <family val="2"/>
      <charset val="1"/>
    </font>
    <font>
      <b/>
      <sz val="10"/>
      <color theme="1"/>
      <name val="Arial"/>
      <family val="2"/>
      <charset val="1"/>
    </font>
    <font>
      <sz val="10"/>
      <color rgb="FF008000"/>
      <name val="Arial"/>
      <family val="2"/>
      <charset val="1"/>
    </font>
    <font>
      <sz val="10"/>
      <color rgb="FF0000FF"/>
      <name val="Arial"/>
      <family val="2"/>
      <charset val="1"/>
    </font>
    <font>
      <b/>
      <sz val="10"/>
      <name val="Arial"/>
      <family val="2"/>
      <charset val="1"/>
    </font>
    <font>
      <sz val="10"/>
      <color rgb="FF000000"/>
      <name val="Arial"/>
      <family val="2"/>
      <charset val="1"/>
    </font>
    <font>
      <b/>
      <sz val="10"/>
      <color rgb="FF000000"/>
      <name val="Arial"/>
      <family val="2"/>
      <charset val="1"/>
    </font>
    <font>
      <b/>
      <sz val="10"/>
      <color rgb="FF1F3864"/>
      <name val="Arial"/>
      <family val="2"/>
      <charset val="1"/>
    </font>
    <font>
      <sz val="10"/>
      <color rgb="FF808080"/>
      <name val="Arial"/>
      <family val="2"/>
      <charset val="1"/>
    </font>
    <font>
      <b/>
      <sz val="11"/>
      <color rgb="FF1F3864"/>
      <name val="Arial"/>
      <family val="2"/>
      <charset val="1"/>
    </font>
    <font>
      <sz val="10"/>
      <name val="Arial"/>
      <family val="2"/>
      <charset val="1"/>
    </font>
    <font>
      <sz val="9"/>
      <color indexed="81"/>
      <name val="Tahoma"/>
      <family val="2"/>
    </font>
    <font>
      <b/>
      <sz val="9"/>
      <color indexed="81"/>
      <name val="Tahoma"/>
      <family val="2"/>
    </font>
    <font>
      <u/>
      <sz val="11"/>
      <color theme="10"/>
      <name val="Calibri"/>
      <family val="2"/>
      <charset val="1"/>
    </font>
    <font>
      <sz val="10"/>
      <color theme="1"/>
      <name val="Arial"/>
      <family val="2"/>
    </font>
    <font>
      <sz val="10"/>
      <color rgb="FF000000"/>
      <name val="Arial"/>
      <family val="2"/>
    </font>
    <font>
      <b/>
      <sz val="10"/>
      <color rgb="FF1F3864"/>
      <name val="Arial"/>
      <family val="2"/>
    </font>
    <font>
      <sz val="10"/>
      <color theme="1"/>
      <name val="Calibri"/>
      <family val="2"/>
      <charset val="1"/>
    </font>
    <font>
      <sz val="11"/>
      <color theme="1"/>
      <name val="Arial"/>
      <family val="2"/>
    </font>
    <font>
      <b/>
      <sz val="10"/>
      <name val="Arial"/>
      <family val="2"/>
    </font>
    <font>
      <sz val="10"/>
      <color rgb="FF333333"/>
      <name val="Arial"/>
      <family val="2"/>
    </font>
    <font>
      <sz val="9"/>
      <color rgb="FF333333"/>
      <name val="Arial"/>
      <family val="2"/>
    </font>
    <font>
      <b/>
      <sz val="16"/>
      <color rgb="FF1F3864"/>
      <name val="Arial"/>
      <family val="2"/>
    </font>
    <font>
      <i/>
      <sz val="9"/>
      <color rgb="FF808080"/>
      <name val="Arial"/>
      <family val="2"/>
    </font>
    <font>
      <sz val="10"/>
      <color rgb="FFFFFFFF"/>
      <name val="Arial"/>
      <family val="2"/>
    </font>
    <font>
      <b/>
      <sz val="10"/>
      <color rgb="FFFFFFFF"/>
      <name val="Arial"/>
      <family val="2"/>
    </font>
    <font>
      <sz val="9"/>
      <color theme="1"/>
      <name val="Arial"/>
      <family val="2"/>
    </font>
    <font>
      <sz val="10"/>
      <color rgb="FF1F3864"/>
      <name val="Arial"/>
      <family val="2"/>
    </font>
    <font>
      <sz val="9"/>
      <color rgb="FF0000FF"/>
      <name val="Arial"/>
      <family val="2"/>
    </font>
    <font>
      <sz val="9"/>
      <color rgb="FF000000"/>
      <name val="Arial"/>
      <family val="2"/>
    </font>
    <font>
      <sz val="9"/>
      <color rgb="FF008000"/>
      <name val="Arial"/>
      <family val="2"/>
    </font>
    <font>
      <sz val="9"/>
      <color rgb="FFFF0000"/>
      <name val="Arial"/>
      <family val="2"/>
    </font>
    <font>
      <sz val="10"/>
      <color rgb="FF008000"/>
      <name val="Arial"/>
      <family val="2"/>
    </font>
    <font>
      <sz val="10"/>
      <color rgb="FF0000FF"/>
      <name val="Arial"/>
      <family val="2"/>
    </font>
    <font>
      <sz val="10"/>
      <color rgb="FFFF0000"/>
      <name val="Arial"/>
      <family val="2"/>
    </font>
    <font>
      <i/>
      <sz val="10"/>
      <color rgb="FF808080"/>
      <name val="Arial"/>
      <family val="2"/>
    </font>
    <font>
      <b/>
      <sz val="10"/>
      <color rgb="FF1F3864"/>
      <name val="Calibri"/>
      <family val="2"/>
      <charset val="1"/>
    </font>
    <font>
      <b/>
      <sz val="14"/>
      <color rgb="FF1F3864"/>
      <name val="Arial"/>
      <family val="2"/>
    </font>
    <font>
      <b/>
      <sz val="11"/>
      <color rgb="FF1F3864"/>
      <name val="Arial"/>
      <family val="2"/>
    </font>
    <font>
      <b/>
      <sz val="11"/>
      <color theme="1"/>
      <name val="Arial"/>
      <family val="2"/>
    </font>
    <font>
      <sz val="14"/>
      <color theme="1"/>
      <name val="Arial"/>
      <family val="2"/>
    </font>
    <font>
      <i/>
      <sz val="9"/>
      <color theme="1"/>
      <name val="Arial"/>
      <family val="2"/>
    </font>
    <font>
      <b/>
      <sz val="10"/>
      <color theme="1"/>
      <name val="Arial"/>
      <family val="2"/>
    </font>
    <font>
      <b/>
      <sz val="10"/>
      <color rgb="FF000000"/>
      <name val="Arial"/>
      <family val="2"/>
    </font>
    <font>
      <b/>
      <sz val="10"/>
      <color rgb="FF0000FF"/>
      <name val="Arial"/>
      <family val="2"/>
    </font>
    <font>
      <u/>
      <sz val="10"/>
      <color theme="10"/>
      <name val="Arial"/>
      <family val="2"/>
    </font>
    <font>
      <b/>
      <sz val="14"/>
      <color rgb="FF2F5496"/>
      <name val="Arial"/>
      <family val="2"/>
    </font>
    <font>
      <b/>
      <sz val="11"/>
      <color rgb="FF2F5496"/>
      <name val="Arial"/>
      <family val="2"/>
    </font>
    <font>
      <sz val="10"/>
      <name val="Arial"/>
      <family val="2"/>
    </font>
    <font>
      <b/>
      <i/>
      <sz val="10"/>
      <color rgb="FFFFFFFF"/>
      <name val="Arial"/>
      <family val="2"/>
    </font>
    <font>
      <b/>
      <sz val="10"/>
      <color rgb="FF1F4E79"/>
      <name val="Arial"/>
      <family val="2"/>
    </font>
    <font>
      <b/>
      <sz val="10"/>
      <color rgb="FF008000"/>
      <name val="Arial"/>
      <family val="2"/>
    </font>
    <font>
      <b/>
      <sz val="10"/>
      <color rgb="FFFF0000"/>
      <name val="Arial"/>
      <family val="2"/>
    </font>
    <font>
      <b/>
      <sz val="10"/>
      <color rgb="FF666666"/>
      <name val="Arial"/>
      <family val="2"/>
    </font>
    <font>
      <b/>
      <i/>
      <sz val="10"/>
      <color rgb="FF808080"/>
      <name val="Arial"/>
      <family val="2"/>
    </font>
    <font>
      <b/>
      <sz val="11"/>
      <color rgb="FFFFFFFF"/>
      <name val="Arial"/>
      <family val="2"/>
    </font>
    <font>
      <b/>
      <i/>
      <sz val="10"/>
      <color rgb="FF1F3864"/>
      <name val="Arial"/>
      <family val="2"/>
    </font>
    <font>
      <sz val="10"/>
      <color rgb="FF808080"/>
      <name val="Arial"/>
      <family val="2"/>
    </font>
    <font>
      <b/>
      <sz val="10"/>
      <color rgb="FF808080"/>
      <name val="Arial"/>
      <family val="2"/>
    </font>
    <font>
      <b/>
      <sz val="9"/>
      <color rgb="FF808080"/>
      <name val="Arial"/>
      <family val="2"/>
    </font>
    <font>
      <b/>
      <sz val="14"/>
      <color rgb="FF0000FF"/>
      <name val="Arial"/>
      <family val="2"/>
    </font>
    <font>
      <i/>
      <sz val="9"/>
      <color rgb="FF999999"/>
      <name val="Arial"/>
      <family val="2"/>
    </font>
    <font>
      <sz val="9"/>
      <color rgb="FF444444"/>
      <name val="Arial"/>
      <family val="2"/>
    </font>
    <font>
      <b/>
      <sz val="10"/>
      <color theme="0"/>
      <name val="Arial"/>
      <family val="2"/>
    </font>
    <font>
      <i/>
      <sz val="10"/>
      <color theme="0" tint="-0.34998626667073579"/>
      <name val="Arial"/>
      <family val="2"/>
    </font>
    <font>
      <i/>
      <sz val="9"/>
      <color rgb="FFA6A6A6"/>
      <name val="Arial"/>
      <family val="2"/>
    </font>
    <font>
      <i/>
      <sz val="9"/>
      <color rgb="FF000000"/>
      <name val="Arial"/>
      <family val="2"/>
    </font>
    <font>
      <i/>
      <sz val="9"/>
      <color rgb="FF595959"/>
      <name val="Arial"/>
      <family val="2"/>
    </font>
    <font>
      <i/>
      <sz val="10"/>
      <color rgb="FF000000"/>
      <name val="Arial"/>
      <family val="2"/>
    </font>
    <font>
      <sz val="10"/>
      <color rgb="FF404040"/>
      <name val="Arial"/>
      <family val="2"/>
    </font>
    <font>
      <b/>
      <i/>
      <sz val="10"/>
      <color theme="1"/>
      <name val="Arial"/>
      <family val="2"/>
    </font>
    <font>
      <b/>
      <u/>
      <sz val="10"/>
      <color theme="1"/>
      <name val="Arial"/>
      <family val="2"/>
    </font>
    <font>
      <i/>
      <sz val="9"/>
      <name val="Arial"/>
      <family val="2"/>
    </font>
    <font>
      <sz val="9"/>
      <color rgb="FF404040"/>
      <name val="Arial"/>
      <family val="2"/>
    </font>
    <font>
      <b/>
      <i/>
      <sz val="11"/>
      <color rgb="FF1F3864"/>
      <name val="Arial"/>
      <family val="2"/>
    </font>
    <font>
      <b/>
      <i/>
      <sz val="10"/>
      <color rgb="FF333333"/>
      <name val="Arial"/>
      <family val="2"/>
    </font>
    <font>
      <b/>
      <i/>
      <sz val="10"/>
      <color rgb="FF008000"/>
      <name val="Arial"/>
      <family val="2"/>
    </font>
    <font>
      <sz val="9"/>
      <color rgb="FF1F3864"/>
      <name val="Arial"/>
      <family val="2"/>
    </font>
    <font>
      <sz val="11"/>
      <color rgb="FF0000FF"/>
      <name val="Arial"/>
      <family val="2"/>
    </font>
    <font>
      <b/>
      <sz val="9"/>
      <color rgb="FF1F3864"/>
      <name val="Arial"/>
      <family val="2"/>
    </font>
    <font>
      <i/>
      <sz val="8"/>
      <color rgb="FF808080"/>
      <name val="Arial"/>
      <family val="2"/>
    </font>
    <font>
      <sz val="10"/>
      <color rgb="FF006100"/>
      <name val="Arial"/>
      <family val="2"/>
    </font>
    <font>
      <sz val="9"/>
      <color rgb="FF006100"/>
      <name val="Arial"/>
      <family val="2"/>
    </font>
    <font>
      <b/>
      <sz val="10"/>
      <color rgb="FF006100"/>
      <name val="Arial"/>
      <family val="2"/>
    </font>
    <font>
      <sz val="10"/>
      <color rgb="FF9C0006"/>
      <name val="Arial"/>
      <family val="2"/>
    </font>
    <font>
      <sz val="9"/>
      <color rgb="FF9C0006"/>
      <name val="Arial"/>
      <family val="2"/>
    </font>
    <font>
      <b/>
      <sz val="10"/>
      <color rgb="FF9C0006"/>
      <name val="Arial"/>
      <family val="2"/>
    </font>
    <font>
      <i/>
      <sz val="11"/>
      <color rgb="FF808080"/>
      <name val="Arial"/>
      <family val="2"/>
    </font>
    <font>
      <b/>
      <sz val="11"/>
      <color rgb="FF000000"/>
      <name val="Arial"/>
      <family val="2"/>
    </font>
    <font>
      <b/>
      <sz val="12"/>
      <color rgb="FF000000"/>
      <name val="Arial"/>
      <family val="2"/>
    </font>
    <font>
      <b/>
      <i/>
      <sz val="9"/>
      <color rgb="FF808080"/>
      <name val="Arial"/>
      <family val="2"/>
    </font>
    <font>
      <i/>
      <sz val="9"/>
      <color rgb="FF1F3864"/>
      <name val="Arial"/>
      <family val="2"/>
    </font>
    <font>
      <b/>
      <i/>
      <sz val="14"/>
      <color rgb="FF1F3864"/>
      <name val="Arial"/>
      <family val="2"/>
    </font>
    <font>
      <sz val="11"/>
      <color rgb="FF008000"/>
      <name val="Arial"/>
      <family val="2"/>
    </font>
    <font>
      <sz val="11"/>
      <color rgb="FF000000"/>
      <name val="Arial"/>
      <family val="2"/>
    </font>
    <font>
      <b/>
      <sz val="12"/>
      <color rgb="FFFFFFFF"/>
      <name val="Calibri"/>
      <family val="2"/>
      <charset val="1"/>
    </font>
    <font>
      <sz val="9"/>
      <color rgb="FF666666"/>
      <name val="Calibri"/>
      <family val="2"/>
      <charset val="1"/>
    </font>
    <font>
      <i/>
      <sz val="9"/>
      <color rgb="FF666666"/>
      <name val="Calibri"/>
      <family val="2"/>
      <charset val="1"/>
    </font>
    <font>
      <b/>
      <sz val="11"/>
      <color theme="1"/>
      <name val="Calibri"/>
      <family val="2"/>
      <charset val="1"/>
    </font>
    <font>
      <sz val="11"/>
      <color rgb="FF0000FF"/>
      <name val="Calibri"/>
      <family val="2"/>
      <charset val="1"/>
    </font>
    <font>
      <sz val="11"/>
      <color rgb="FF008000"/>
      <name val="Calibri"/>
      <family val="2"/>
      <charset val="1"/>
    </font>
    <font>
      <i/>
      <sz val="11"/>
      <color rgb="FF808080"/>
      <name val="Calibri"/>
      <family val="2"/>
      <charset val="1"/>
    </font>
    <font>
      <b/>
      <sz val="11"/>
      <color rgb="FF008000"/>
      <name val="Calibri"/>
      <family val="2"/>
      <charset val="1"/>
    </font>
    <font>
      <i/>
      <sz val="11"/>
      <color theme="1"/>
      <name val="Calibri"/>
      <family val="2"/>
      <charset val="1"/>
    </font>
    <font>
      <b/>
      <sz val="9"/>
      <color theme="1"/>
      <name val="Arial"/>
      <family val="2"/>
    </font>
    <font>
      <b/>
      <sz val="9"/>
      <color theme="1"/>
      <name val="Calibri"/>
      <family val="2"/>
      <charset val="1"/>
    </font>
    <font>
      <b/>
      <i/>
      <sz val="11"/>
      <color rgb="FF333333"/>
      <name val="Arial"/>
      <family val="2"/>
    </font>
    <font>
      <i/>
      <sz val="9"/>
      <color rgb="FF404040"/>
      <name val="Calibri"/>
      <family val="2"/>
      <charset val="1"/>
    </font>
    <font>
      <b/>
      <sz val="10"/>
      <color rgb="FFFFFFFF"/>
      <name val="Calibri"/>
      <family val="2"/>
      <charset val="1"/>
    </font>
    <font>
      <sz val="11"/>
      <color theme="1"/>
      <name val="Calibri"/>
      <family val="2"/>
      <charset val="1"/>
    </font>
    <font>
      <sz val="10"/>
      <color rgb="FF030A4D"/>
      <name val="Arial"/>
      <family val="2"/>
    </font>
    <font>
      <b/>
      <sz val="11"/>
      <color rgb="FFFFFFFF"/>
      <name val="Calibri"/>
      <family val="2"/>
      <charset val="1"/>
    </font>
    <font>
      <b/>
      <sz val="13"/>
      <color rgb="FFFFFFFF"/>
      <name val="Calibri"/>
      <family val="2"/>
      <charset val="1"/>
    </font>
    <font>
      <i/>
      <sz val="10"/>
      <color rgb="FF595959"/>
      <name val="Calibri"/>
      <family val="2"/>
      <charset val="1"/>
    </font>
    <font>
      <i/>
      <sz val="11"/>
      <color theme="1"/>
      <name val="Arial"/>
      <family val="2"/>
    </font>
    <font>
      <b/>
      <sz val="11"/>
      <color rgb="FF0000FF"/>
      <name val="Arial"/>
      <family val="2"/>
    </font>
  </fonts>
  <fills count="34">
    <fill>
      <patternFill patternType="none"/>
    </fill>
    <fill>
      <patternFill patternType="gray125"/>
    </fill>
    <fill>
      <patternFill patternType="solid">
        <fgColor rgb="FFFFFFFF"/>
        <bgColor rgb="FFF2F7FB"/>
      </patternFill>
    </fill>
    <fill>
      <patternFill patternType="solid">
        <fgColor rgb="FF0070C0"/>
        <bgColor rgb="FF2E75B6"/>
      </patternFill>
    </fill>
    <fill>
      <patternFill patternType="solid">
        <fgColor rgb="FFD6E4F0"/>
        <bgColor rgb="FFD9E1F2"/>
      </patternFill>
    </fill>
    <fill>
      <patternFill patternType="solid">
        <fgColor rgb="FFE2EFDA"/>
        <bgColor rgb="FFE7E6E6"/>
      </patternFill>
    </fill>
    <fill>
      <patternFill patternType="solid">
        <fgColor rgb="FFDEEBF7"/>
        <bgColor rgb="FFDAE9F8"/>
      </patternFill>
    </fill>
    <fill>
      <patternFill patternType="solid">
        <fgColor rgb="FFFCE4EC"/>
        <bgColor rgb="FFE7E6E6"/>
      </patternFill>
    </fill>
    <fill>
      <patternFill patternType="solid">
        <fgColor rgb="FFFFF2CC"/>
        <bgColor rgb="FFF2F2F2"/>
      </patternFill>
    </fill>
    <fill>
      <patternFill patternType="solid">
        <fgColor rgb="FFFFFF00"/>
        <bgColor rgb="FFFFD700"/>
      </patternFill>
    </fill>
    <fill>
      <patternFill patternType="solid">
        <fgColor rgb="FF1F4E78"/>
        <bgColor rgb="FF1F4E79"/>
      </patternFill>
    </fill>
    <fill>
      <patternFill patternType="solid">
        <fgColor rgb="FFD9E1F2"/>
        <bgColor rgb="FFD6E4F0"/>
      </patternFill>
    </fill>
    <fill>
      <patternFill patternType="solid">
        <fgColor rgb="FFF2F7FB"/>
        <bgColor rgb="FFF2F2F2"/>
      </patternFill>
    </fill>
    <fill>
      <patternFill patternType="solid">
        <fgColor rgb="FF1F3864"/>
        <bgColor rgb="FF1F4E78"/>
      </patternFill>
    </fill>
    <fill>
      <patternFill patternType="solid">
        <fgColor theme="0" tint="-4.9989318521683403E-2"/>
        <bgColor rgb="FFF2F7FB"/>
      </patternFill>
    </fill>
    <fill>
      <patternFill patternType="solid">
        <fgColor rgb="FFDAE9F8"/>
        <bgColor rgb="FFDEEBF7"/>
      </patternFill>
    </fill>
    <fill>
      <patternFill patternType="solid">
        <fgColor rgb="FF70AD47"/>
        <bgColor rgb="FF548235"/>
      </patternFill>
    </fill>
    <fill>
      <patternFill patternType="solid">
        <fgColor rgb="FFFFFF99"/>
        <bgColor rgb="FFFFF2CC"/>
      </patternFill>
    </fill>
    <fill>
      <patternFill patternType="solid">
        <fgColor rgb="FFC6EFCE"/>
        <bgColor rgb="FFE2EFDA"/>
      </patternFill>
    </fill>
    <fill>
      <patternFill patternType="solid">
        <fgColor rgb="FFFFC7CE"/>
        <bgColor rgb="FFFCE4EC"/>
      </patternFill>
    </fill>
    <fill>
      <patternFill patternType="solid">
        <fgColor rgb="FF1F3864"/>
        <bgColor indexed="64"/>
      </patternFill>
    </fill>
    <fill>
      <patternFill patternType="solid">
        <fgColor rgb="FFD6E4F0"/>
        <bgColor indexed="64"/>
      </patternFill>
    </fill>
    <fill>
      <patternFill patternType="solid">
        <fgColor rgb="FFFFFF00"/>
        <bgColor indexed="64"/>
      </patternFill>
    </fill>
    <fill>
      <patternFill patternType="solid">
        <fgColor rgb="FFF2F2F2"/>
        <bgColor indexed="64"/>
      </patternFill>
    </fill>
    <fill>
      <patternFill patternType="solid">
        <fgColor rgb="FF0070C0"/>
        <bgColor indexed="64"/>
      </patternFill>
    </fill>
    <fill>
      <patternFill patternType="solid">
        <fgColor rgb="FFF2F7FB"/>
        <bgColor indexed="64"/>
      </patternFill>
    </fill>
    <fill>
      <patternFill patternType="solid">
        <fgColor rgb="FFD9E1F2"/>
        <bgColor indexed="64"/>
      </patternFill>
    </fill>
    <fill>
      <patternFill patternType="solid">
        <fgColor rgb="FFFFFF99"/>
        <bgColor indexed="64"/>
      </patternFill>
    </fill>
    <fill>
      <patternFill patternType="solid">
        <fgColor rgb="FF1F4E79"/>
        <bgColor indexed="64"/>
      </patternFill>
    </fill>
    <fill>
      <patternFill patternType="solid">
        <fgColor rgb="FFD9D9D9"/>
        <bgColor indexed="64"/>
      </patternFill>
    </fill>
    <fill>
      <patternFill patternType="solid">
        <fgColor rgb="FFEDEDED"/>
        <bgColor indexed="64"/>
      </patternFill>
    </fill>
    <fill>
      <patternFill patternType="solid">
        <fgColor theme="0"/>
        <bgColor indexed="64"/>
      </patternFill>
    </fill>
    <fill>
      <patternFill patternType="solid">
        <fgColor rgb="FF2E5597"/>
        <bgColor indexed="64"/>
      </patternFill>
    </fill>
    <fill>
      <patternFill patternType="solid">
        <fgColor rgb="FF1F4E78"/>
        <bgColor indexed="64"/>
      </patternFill>
    </fill>
  </fills>
  <borders count="107">
    <border>
      <left/>
      <right/>
      <top/>
      <bottom/>
      <diagonal/>
    </border>
    <border>
      <left/>
      <right/>
      <top/>
      <bottom style="thin">
        <color rgb="FF1F3864"/>
      </bottom>
      <diagonal/>
    </border>
    <border>
      <left/>
      <right/>
      <top style="thin">
        <color rgb="FFD6E4F0"/>
      </top>
      <bottom/>
      <diagonal/>
    </border>
    <border>
      <left/>
      <right/>
      <top style="thin">
        <color rgb="FFD6E4F0"/>
      </top>
      <bottom style="thin">
        <color rgb="FFD6E4F0"/>
      </bottom>
      <diagonal/>
    </border>
    <border>
      <left/>
      <right/>
      <top/>
      <bottom style="medium">
        <color rgb="FF1F3864"/>
      </bottom>
      <diagonal/>
    </border>
    <border>
      <left/>
      <right/>
      <top/>
      <bottom style="thin">
        <color rgb="FFD6E4F0"/>
      </bottom>
      <diagonal/>
    </border>
    <border>
      <left/>
      <right/>
      <top/>
      <bottom style="thin">
        <color rgb="FFB4B4B4"/>
      </bottom>
      <diagonal/>
    </border>
    <border>
      <left/>
      <right/>
      <top style="thin">
        <color auto="1"/>
      </top>
      <bottom/>
      <diagonal/>
    </border>
    <border>
      <left/>
      <right/>
      <top style="thin">
        <color auto="1"/>
      </top>
      <bottom style="thin">
        <color rgb="FFB4B4B4"/>
      </bottom>
      <diagonal/>
    </border>
    <border>
      <left/>
      <right/>
      <top style="thin">
        <color auto="1"/>
      </top>
      <bottom style="thin">
        <color auto="1"/>
      </bottom>
      <diagonal/>
    </border>
    <border>
      <left/>
      <right/>
      <top style="thin">
        <color auto="1"/>
      </top>
      <bottom style="thin">
        <color rgb="FF1F3864"/>
      </bottom>
      <diagonal/>
    </border>
    <border>
      <left/>
      <right/>
      <top/>
      <bottom style="thin">
        <color auto="1"/>
      </bottom>
      <diagonal/>
    </border>
    <border>
      <left/>
      <right/>
      <top/>
      <bottom style="double">
        <color rgb="FFB4B4B4"/>
      </bottom>
      <diagonal/>
    </border>
    <border>
      <left/>
      <right/>
      <top style="thin">
        <color auto="1"/>
      </top>
      <bottom style="double">
        <color rgb="FFB4B4B4"/>
      </bottom>
      <diagonal/>
    </border>
    <border>
      <left style="medium">
        <color rgb="FF1F3864"/>
      </left>
      <right style="thin">
        <color rgb="FFB4B4B4"/>
      </right>
      <top style="medium">
        <color rgb="FF1F3864"/>
      </top>
      <bottom style="medium">
        <color rgb="FF1F3864"/>
      </bottom>
      <diagonal/>
    </border>
    <border>
      <left style="thin">
        <color rgb="FFB4B4B4"/>
      </left>
      <right style="thin">
        <color rgb="FFB4B4B4"/>
      </right>
      <top style="medium">
        <color rgb="FF1F3864"/>
      </top>
      <bottom style="medium">
        <color rgb="FF1F3864"/>
      </bottom>
      <diagonal/>
    </border>
    <border>
      <left style="thin">
        <color rgb="FFB4B4B4"/>
      </left>
      <right style="medium">
        <color rgb="FF1F3864"/>
      </right>
      <top style="medium">
        <color rgb="FF1F3864"/>
      </top>
      <bottom style="medium">
        <color rgb="FF1F3864"/>
      </bottom>
      <diagonal/>
    </border>
    <border>
      <left style="medium">
        <color rgb="FF1F3864"/>
      </left>
      <right style="thin">
        <color rgb="FFB4B4B4"/>
      </right>
      <top/>
      <bottom/>
      <diagonal/>
    </border>
    <border>
      <left style="thin">
        <color rgb="FFB4B4B4"/>
      </left>
      <right style="thin">
        <color rgb="FFB4B4B4"/>
      </right>
      <top/>
      <bottom/>
      <diagonal/>
    </border>
    <border>
      <left style="thin">
        <color rgb="FFB4B4B4"/>
      </left>
      <right style="medium">
        <color rgb="FF1F3864"/>
      </right>
      <top/>
      <bottom/>
      <diagonal/>
    </border>
    <border>
      <left style="medium">
        <color rgb="FF1F3864"/>
      </left>
      <right style="thin">
        <color rgb="FFB4B4B4"/>
      </right>
      <top style="thin">
        <color rgb="FFB4B4B4"/>
      </top>
      <bottom style="medium">
        <color rgb="FF1F3864"/>
      </bottom>
      <diagonal/>
    </border>
    <border>
      <left style="thin">
        <color rgb="FFB4B4B4"/>
      </left>
      <right style="thin">
        <color rgb="FFB4B4B4"/>
      </right>
      <top style="thin">
        <color rgb="FFB4B4B4"/>
      </top>
      <bottom style="medium">
        <color rgb="FF1F3864"/>
      </bottom>
      <diagonal/>
    </border>
    <border>
      <left style="thin">
        <color rgb="FFB4B4B4"/>
      </left>
      <right style="medium">
        <color rgb="FF1F3864"/>
      </right>
      <top style="thin">
        <color rgb="FFB4B4B4"/>
      </top>
      <bottom style="medium">
        <color rgb="FF1F3864"/>
      </bottom>
      <diagonal/>
    </border>
    <border>
      <left style="medium">
        <color rgb="FF1F3864"/>
      </left>
      <right style="thin">
        <color rgb="FFB4B4B4"/>
      </right>
      <top/>
      <bottom style="thin">
        <color rgb="FFB4B4B4"/>
      </bottom>
      <diagonal/>
    </border>
    <border>
      <left style="thin">
        <color rgb="FFB4B4B4"/>
      </left>
      <right style="thin">
        <color rgb="FFB4B4B4"/>
      </right>
      <top/>
      <bottom style="thin">
        <color rgb="FFB4B4B4"/>
      </bottom>
      <diagonal/>
    </border>
    <border>
      <left style="thin">
        <color rgb="FFB4B4B4"/>
      </left>
      <right style="medium">
        <color rgb="FF1F3864"/>
      </right>
      <top/>
      <bottom style="thin">
        <color rgb="FFB4B4B4"/>
      </bottom>
      <diagonal/>
    </border>
    <border>
      <left style="medium">
        <color rgb="FF1F3864"/>
      </left>
      <right style="thin">
        <color rgb="FFB4B4B4"/>
      </right>
      <top style="thin">
        <color rgb="FFB4B4B4"/>
      </top>
      <bottom style="thin">
        <color rgb="FFB4B4B4"/>
      </bottom>
      <diagonal/>
    </border>
    <border>
      <left style="thin">
        <color rgb="FFB4B4B4"/>
      </left>
      <right style="thin">
        <color rgb="FFB4B4B4"/>
      </right>
      <top style="thin">
        <color rgb="FFB4B4B4"/>
      </top>
      <bottom style="thin">
        <color rgb="FFB4B4B4"/>
      </bottom>
      <diagonal/>
    </border>
    <border>
      <left style="thin">
        <color rgb="FFB4B4B4"/>
      </left>
      <right style="medium">
        <color rgb="FF1F3864"/>
      </right>
      <top style="thin">
        <color rgb="FFB4B4B4"/>
      </top>
      <bottom style="thin">
        <color rgb="FFB4B4B4"/>
      </bottom>
      <diagonal/>
    </border>
    <border>
      <left style="medium">
        <color rgb="FF1F3864"/>
      </left>
      <right style="thin">
        <color rgb="FFB4B4B4"/>
      </right>
      <top style="thin">
        <color rgb="FFB4B4B4"/>
      </top>
      <bottom/>
      <diagonal/>
    </border>
    <border>
      <left style="thin">
        <color rgb="FFB4B4B4"/>
      </left>
      <right style="thin">
        <color rgb="FFB4B4B4"/>
      </right>
      <top style="thin">
        <color rgb="FFB4B4B4"/>
      </top>
      <bottom/>
      <diagonal/>
    </border>
    <border>
      <left style="thin">
        <color rgb="FFB4B4B4"/>
      </left>
      <right style="medium">
        <color rgb="FF1F3864"/>
      </right>
      <top style="thin">
        <color rgb="FFB4B4B4"/>
      </top>
      <bottom/>
      <diagonal/>
    </border>
    <border>
      <left/>
      <right/>
      <top style="thin">
        <color rgb="FF808080"/>
      </top>
      <bottom/>
      <diagonal/>
    </border>
    <border>
      <left/>
      <right/>
      <top style="thin">
        <color rgb="FF808080"/>
      </top>
      <bottom style="thin">
        <color rgb="FF1F3864"/>
      </bottom>
      <diagonal/>
    </border>
    <border>
      <left/>
      <right/>
      <top style="thin">
        <color rgb="FF1F3864"/>
      </top>
      <bottom style="medium">
        <color rgb="FF1F3864"/>
      </bottom>
      <diagonal/>
    </border>
    <border>
      <left/>
      <right/>
      <top/>
      <bottom style="thin">
        <color rgb="FFD0D0D0"/>
      </bottom>
      <diagonal/>
    </border>
    <border>
      <left/>
      <right/>
      <top style="thin">
        <color rgb="FFD0D0D0"/>
      </top>
      <bottom style="thin">
        <color rgb="FFD0D0D0"/>
      </bottom>
      <diagonal/>
    </border>
    <border>
      <left/>
      <right/>
      <top style="thin">
        <color rgb="FFD0D0D0"/>
      </top>
      <bottom/>
      <diagonal/>
    </border>
    <border>
      <left/>
      <right/>
      <top style="thin">
        <color rgb="FF808080"/>
      </top>
      <bottom style="thin">
        <color rgb="FFD0D0D0"/>
      </bottom>
      <diagonal/>
    </border>
    <border>
      <left/>
      <right/>
      <top style="thin">
        <color rgb="FFD0D0D0"/>
      </top>
      <bottom style="thin">
        <color rgb="FF1F3864"/>
      </bottom>
      <diagonal/>
    </border>
    <border>
      <left style="medium">
        <color rgb="FF1F3864"/>
      </left>
      <right style="thin">
        <color rgb="FFB4B4B4"/>
      </right>
      <top style="medium">
        <color rgb="FF1F3864"/>
      </top>
      <bottom style="thin">
        <color rgb="FFB4B4B4"/>
      </bottom>
      <diagonal/>
    </border>
    <border>
      <left style="thin">
        <color rgb="FFB4B4B4"/>
      </left>
      <right style="thin">
        <color rgb="FFB4B4B4"/>
      </right>
      <top style="medium">
        <color rgb="FF1F3864"/>
      </top>
      <bottom style="thin">
        <color rgb="FFB4B4B4"/>
      </bottom>
      <diagonal/>
    </border>
    <border>
      <left style="thin">
        <color rgb="FFB4B4B4"/>
      </left>
      <right style="medium">
        <color rgb="FF1F3864"/>
      </right>
      <top style="medium">
        <color rgb="FF1F3864"/>
      </top>
      <bottom style="thin">
        <color rgb="FFB4B4B4"/>
      </bottom>
      <diagonal/>
    </border>
    <border>
      <left style="medium">
        <color rgb="FF1F3864"/>
      </left>
      <right/>
      <top style="medium">
        <color rgb="FF1F3864"/>
      </top>
      <bottom/>
      <diagonal/>
    </border>
    <border>
      <left style="thin">
        <color rgb="FFB4B4B4"/>
      </left>
      <right/>
      <top style="medium">
        <color rgb="FF1F3864"/>
      </top>
      <bottom/>
      <diagonal/>
    </border>
    <border>
      <left style="thin">
        <color rgb="FFB4B4B4"/>
      </left>
      <right style="medium">
        <color rgb="FF1F3864"/>
      </right>
      <top style="medium">
        <color rgb="FF1F3864"/>
      </top>
      <bottom/>
      <diagonal/>
    </border>
    <border>
      <left style="medium">
        <color rgb="FF1F3864"/>
      </left>
      <right/>
      <top style="thin">
        <color rgb="FFB4B4B4"/>
      </top>
      <bottom/>
      <diagonal/>
    </border>
    <border>
      <left style="medium">
        <color rgb="FF1F3864"/>
      </left>
      <right/>
      <top style="thin">
        <color rgb="FFB4B4B4"/>
      </top>
      <bottom style="medium">
        <color rgb="FF1F3864"/>
      </bottom>
      <diagonal/>
    </border>
    <border>
      <left/>
      <right/>
      <top style="thin">
        <color rgb="FF1F3864"/>
      </top>
      <bottom style="thin">
        <color rgb="FF1F3864"/>
      </bottom>
      <diagonal/>
    </border>
    <border>
      <left/>
      <right style="thin">
        <color rgb="FFD0D0D0"/>
      </right>
      <top/>
      <bottom style="thin">
        <color rgb="FF808080"/>
      </bottom>
      <diagonal/>
    </border>
    <border>
      <left style="thin">
        <color rgb="FFD0D0D0"/>
      </left>
      <right style="thin">
        <color rgb="FFD0D0D0"/>
      </right>
      <top/>
      <bottom style="thin">
        <color rgb="FF808080"/>
      </bottom>
      <diagonal/>
    </border>
    <border>
      <left style="thin">
        <color rgb="FFD0D0D0"/>
      </left>
      <right/>
      <top/>
      <bottom style="thin">
        <color rgb="FF808080"/>
      </bottom>
      <diagonal/>
    </border>
    <border>
      <left/>
      <right/>
      <top/>
      <bottom style="thin">
        <color rgb="FF808080"/>
      </bottom>
      <diagonal/>
    </border>
    <border>
      <left/>
      <right/>
      <top style="medium">
        <color rgb="FF1F3864"/>
      </top>
      <bottom style="thin">
        <color rgb="FF1F3864"/>
      </bottom>
      <diagonal/>
    </border>
    <border>
      <left/>
      <right/>
      <top style="medium">
        <color rgb="FF1F3864"/>
      </top>
      <bottom style="medium">
        <color rgb="FF1F3864"/>
      </bottom>
      <diagonal/>
    </border>
    <border>
      <left style="medium">
        <color rgb="FF1F3864"/>
      </left>
      <right/>
      <top style="medium">
        <color rgb="FF1F3864"/>
      </top>
      <bottom style="medium">
        <color rgb="FF1F3864"/>
      </bottom>
      <diagonal/>
    </border>
    <border>
      <left/>
      <right style="medium">
        <color rgb="FF1F3864"/>
      </right>
      <top style="medium">
        <color rgb="FF1F3864"/>
      </top>
      <bottom style="medium">
        <color rgb="FF1F3864"/>
      </bottom>
      <diagonal/>
    </border>
    <border>
      <left/>
      <right/>
      <top style="thin">
        <color rgb="FF1F3864"/>
      </top>
      <bottom/>
      <diagonal/>
    </border>
    <border>
      <left/>
      <right/>
      <top style="thin">
        <color rgb="FFD0D0D0"/>
      </top>
      <bottom style="thin">
        <color rgb="FF808080"/>
      </bottom>
      <diagonal/>
    </border>
    <border>
      <left/>
      <right/>
      <top/>
      <bottom style="medium">
        <color rgb="FF0070C0"/>
      </bottom>
      <diagonal/>
    </border>
    <border>
      <left/>
      <right/>
      <top style="thin">
        <color rgb="FFB4B4B4"/>
      </top>
      <bottom/>
      <diagonal/>
    </border>
    <border>
      <left/>
      <right style="medium">
        <color rgb="FF1F3864"/>
      </right>
      <top/>
      <bottom/>
      <diagonal/>
    </border>
    <border>
      <left style="thin">
        <color rgb="FFB4B4B4"/>
      </left>
      <right/>
      <top style="medium">
        <color rgb="FFB4B4B4"/>
      </top>
      <bottom/>
      <diagonal/>
    </border>
    <border>
      <left/>
      <right style="medium">
        <color rgb="FF1F3864"/>
      </right>
      <top style="thin">
        <color rgb="FFB4B4B4"/>
      </top>
      <bottom/>
      <diagonal/>
    </border>
    <border>
      <left style="medium">
        <color rgb="FF1F3864"/>
      </left>
      <right/>
      <top style="medium">
        <color rgb="FFB4B4B4"/>
      </top>
      <bottom/>
      <diagonal/>
    </border>
    <border>
      <left style="thin">
        <color rgb="FFB4B4B4"/>
      </left>
      <right/>
      <top style="thin">
        <color rgb="FFB4B4B4"/>
      </top>
      <bottom/>
      <diagonal/>
    </border>
    <border>
      <left style="thin">
        <color rgb="FFB4B4B4"/>
      </left>
      <right style="medium">
        <color rgb="FF1F3864"/>
      </right>
      <top style="medium">
        <color rgb="FFB4B4B4"/>
      </top>
      <bottom/>
      <diagonal/>
    </border>
    <border>
      <left style="thin">
        <color rgb="FFB4B4B4"/>
      </left>
      <right/>
      <top style="thin">
        <color rgb="FFB4B4B4"/>
      </top>
      <bottom style="medium">
        <color rgb="FF1F3864"/>
      </bottom>
      <diagonal/>
    </border>
    <border>
      <left style="thin">
        <color rgb="FFB4B4B4"/>
      </left>
      <right style="thin">
        <color rgb="FFB4B4B4"/>
      </right>
      <top style="thin">
        <color rgb="FF808080"/>
      </top>
      <bottom/>
      <diagonal/>
    </border>
    <border>
      <left style="thin">
        <color rgb="FFB4B4B4"/>
      </left>
      <right/>
      <top/>
      <bottom style="medium">
        <color rgb="FF1F3864"/>
      </bottom>
      <diagonal/>
    </border>
    <border>
      <left style="thin">
        <color rgb="FFB4B4B4"/>
      </left>
      <right style="thin">
        <color rgb="FFB4B4B4"/>
      </right>
      <top style="thin">
        <color rgb="FFB4B4B4"/>
      </top>
      <bottom style="thin">
        <color rgb="FF808080"/>
      </bottom>
      <diagonal/>
    </border>
    <border>
      <left/>
      <right/>
      <top style="medium">
        <color rgb="FF1F3864"/>
      </top>
      <bottom/>
      <diagonal/>
    </border>
    <border>
      <left/>
      <right style="medium">
        <color rgb="FF1F3864"/>
      </right>
      <top/>
      <bottom style="medium">
        <color rgb="FF1F3864"/>
      </bottom>
      <diagonal/>
    </border>
    <border>
      <left/>
      <right style="medium">
        <color rgb="FF1F3864"/>
      </right>
      <top style="thin">
        <color rgb="FF808080"/>
      </top>
      <bottom/>
      <diagonal/>
    </border>
    <border>
      <left/>
      <right style="medium">
        <color rgb="FF1F3864"/>
      </right>
      <top style="thin">
        <color rgb="FF808080"/>
      </top>
      <bottom style="thin">
        <color rgb="FF1F3864"/>
      </bottom>
      <diagonal/>
    </border>
    <border>
      <left/>
      <right style="medium">
        <color rgb="FF1F3864"/>
      </right>
      <top style="medium">
        <color rgb="FF1F3864"/>
      </top>
      <bottom/>
      <diagonal/>
    </border>
    <border>
      <left/>
      <right style="medium">
        <color rgb="FF1F3864"/>
      </right>
      <top style="medium">
        <color rgb="FF1F3864"/>
      </top>
      <bottom style="thin">
        <color rgb="FF1F3864"/>
      </bottom>
      <diagonal/>
    </border>
    <border>
      <left/>
      <right style="medium">
        <color rgb="FF1F3864"/>
      </right>
      <top/>
      <bottom style="thin">
        <color rgb="FF1F3864"/>
      </bottom>
      <diagonal/>
    </border>
    <border>
      <left/>
      <right style="medium">
        <color rgb="FF1F3864"/>
      </right>
      <top style="thin">
        <color rgb="FF1F3864"/>
      </top>
      <bottom style="thin">
        <color rgb="FF1F3864"/>
      </bottom>
      <diagonal/>
    </border>
    <border>
      <left/>
      <right style="medium">
        <color rgb="FF1F3864"/>
      </right>
      <top style="thin">
        <color rgb="FF1F3864"/>
      </top>
      <bottom style="medium">
        <color rgb="FF1F3864"/>
      </bottom>
      <diagonal/>
    </border>
    <border>
      <left/>
      <right/>
      <top style="thin">
        <color rgb="FFB4B4B4"/>
      </top>
      <bottom style="thin">
        <color rgb="FFB4B4B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rgb="FF1F3864"/>
      </left>
      <right/>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s>
  <cellStyleXfs count="3">
    <xf numFmtId="0" fontId="0" fillId="0" borderId="0"/>
    <xf numFmtId="0" fontId="18" fillId="0" borderId="0" applyNumberFormat="0" applyFill="0" applyBorder="0" applyAlignment="0" applyProtection="0"/>
    <xf numFmtId="9" fontId="114" fillId="0" borderId="0" applyFont="0" applyFill="0" applyBorder="0" applyAlignment="0" applyProtection="0"/>
  </cellStyleXfs>
  <cellXfs count="920">
    <xf numFmtId="0" fontId="0" fillId="0" borderId="0" xfId="0"/>
    <xf numFmtId="0" fontId="2" fillId="0" borderId="0" xfId="0" applyFont="1"/>
    <xf numFmtId="0" fontId="5" fillId="0" borderId="0" xfId="0" applyFont="1"/>
    <xf numFmtId="0" fontId="5" fillId="4" borderId="0" xfId="0" applyFont="1" applyFill="1"/>
    <xf numFmtId="0" fontId="12" fillId="4" borderId="0" xfId="0" applyFont="1" applyFill="1"/>
    <xf numFmtId="0" fontId="5" fillId="0" borderId="0" xfId="0" applyFont="1" applyAlignment="1">
      <alignment vertical="center"/>
    </xf>
    <xf numFmtId="0" fontId="5" fillId="3" borderId="4" xfId="0" applyFont="1" applyFill="1" applyBorder="1" applyAlignment="1">
      <alignment vertical="center"/>
    </xf>
    <xf numFmtId="0" fontId="4" fillId="3" borderId="4" xfId="0" applyFont="1" applyFill="1" applyBorder="1" applyAlignment="1">
      <alignment horizontal="center" vertical="center"/>
    </xf>
    <xf numFmtId="0" fontId="5" fillId="0" borderId="0" xfId="0" applyFont="1" applyAlignment="1">
      <alignment horizontal="center" vertical="center"/>
    </xf>
    <xf numFmtId="0" fontId="12" fillId="4" borderId="4" xfId="0" applyFont="1" applyFill="1" applyBorder="1" applyAlignment="1">
      <alignment vertical="center" wrapText="1"/>
    </xf>
    <xf numFmtId="0" fontId="5" fillId="4" borderId="4" xfId="0" applyFont="1" applyFill="1" applyBorder="1" applyAlignment="1">
      <alignment horizontal="center" vertical="center"/>
    </xf>
    <xf numFmtId="164" fontId="13" fillId="0" borderId="0" xfId="0" applyNumberFormat="1" applyFont="1" applyAlignment="1">
      <alignment horizontal="center" vertical="center"/>
    </xf>
    <xf numFmtId="0" fontId="5" fillId="0" borderId="0" xfId="0" applyFont="1" applyAlignment="1">
      <alignment vertical="center" wrapText="1"/>
    </xf>
    <xf numFmtId="0" fontId="9"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pplyAlignment="1">
      <alignment horizontal="center" vertical="center"/>
    </xf>
    <xf numFmtId="0" fontId="5" fillId="0" borderId="34" xfId="0" applyFont="1" applyBorder="1" applyAlignment="1">
      <alignment vertical="center" wrapText="1"/>
    </xf>
    <xf numFmtId="0" fontId="5" fillId="0" borderId="34" xfId="0" applyFont="1" applyBorder="1" applyAlignment="1">
      <alignment horizontal="center" vertical="center"/>
    </xf>
    <xf numFmtId="0" fontId="10" fillId="0" borderId="0" xfId="0" applyFont="1" applyAlignment="1">
      <alignment vertical="center" wrapText="1"/>
    </xf>
    <xf numFmtId="0" fontId="5" fillId="8" borderId="0" xfId="0" applyFont="1" applyFill="1" applyAlignment="1">
      <alignment vertical="center" wrapText="1"/>
    </xf>
    <xf numFmtId="0" fontId="6" fillId="8" borderId="0" xfId="0" applyFont="1" applyFill="1" applyAlignment="1">
      <alignment vertical="center" wrapText="1"/>
    </xf>
    <xf numFmtId="0" fontId="6" fillId="8" borderId="0" xfId="0" applyFont="1" applyFill="1" applyAlignment="1">
      <alignment horizontal="center" vertical="center"/>
    </xf>
    <xf numFmtId="0" fontId="10" fillId="8" borderId="0" xfId="0" applyFont="1" applyFill="1"/>
    <xf numFmtId="0" fontId="11" fillId="8" borderId="0" xfId="0" applyFont="1" applyFill="1"/>
    <xf numFmtId="0" fontId="6" fillId="18" borderId="0" xfId="0" applyFont="1" applyFill="1" applyAlignment="1">
      <alignment horizontal="center"/>
    </xf>
    <xf numFmtId="164" fontId="5" fillId="0" borderId="0" xfId="0" applyNumberFormat="1" applyFont="1" applyAlignment="1">
      <alignment horizontal="center" vertical="center"/>
    </xf>
    <xf numFmtId="10" fontId="7" fillId="0" borderId="0" xfId="0" applyNumberFormat="1"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9" fillId="0" borderId="0" xfId="0" applyFont="1" applyAlignment="1">
      <alignment horizontal="left" vertical="center" wrapText="1"/>
    </xf>
    <xf numFmtId="0" fontId="20" fillId="0" borderId="0" xfId="0" applyFont="1" applyAlignment="1">
      <alignment horizontal="left" vertical="center" wrapText="1"/>
    </xf>
    <xf numFmtId="0" fontId="19" fillId="0" borderId="0" xfId="0" applyFont="1" applyAlignment="1">
      <alignment horizontal="center" vertical="center"/>
    </xf>
    <xf numFmtId="4" fontId="19" fillId="0" borderId="0" xfId="0" applyNumberFormat="1" applyFont="1" applyAlignment="1">
      <alignment horizontal="center" vertical="center"/>
    </xf>
    <xf numFmtId="0" fontId="21" fillId="4" borderId="0" xfId="0" applyFont="1" applyFill="1" applyAlignment="1">
      <alignment horizontal="center"/>
    </xf>
    <xf numFmtId="0" fontId="21" fillId="21" borderId="0" xfId="0" applyFont="1" applyFill="1" applyAlignment="1">
      <alignment horizontal="center"/>
    </xf>
    <xf numFmtId="0" fontId="22" fillId="0" borderId="0" xfId="0" applyFont="1"/>
    <xf numFmtId="0" fontId="19" fillId="0" borderId="0" xfId="0" applyFont="1"/>
    <xf numFmtId="0" fontId="19" fillId="25" borderId="0" xfId="0" applyFont="1" applyFill="1" applyAlignment="1">
      <alignment horizontal="center"/>
    </xf>
    <xf numFmtId="3" fontId="19" fillId="25" borderId="0" xfId="0" applyNumberFormat="1" applyFont="1" applyFill="1" applyAlignment="1">
      <alignment horizontal="center"/>
    </xf>
    <xf numFmtId="0" fontId="19" fillId="0" borderId="0" xfId="0" applyFont="1" applyAlignment="1">
      <alignment horizontal="center"/>
    </xf>
    <xf numFmtId="164" fontId="19" fillId="0" borderId="0" xfId="0" applyNumberFormat="1" applyFont="1" applyAlignment="1">
      <alignment horizontal="center"/>
    </xf>
    <xf numFmtId="170" fontId="19" fillId="25" borderId="0" xfId="0" applyNumberFormat="1" applyFont="1" applyFill="1" applyAlignment="1">
      <alignment horizontal="center"/>
    </xf>
    <xf numFmtId="4" fontId="19" fillId="0" borderId="0" xfId="0" applyNumberFormat="1" applyFont="1"/>
    <xf numFmtId="4" fontId="19" fillId="0" borderId="0" xfId="0" applyNumberFormat="1" applyFont="1" applyAlignment="1">
      <alignment horizontal="center"/>
    </xf>
    <xf numFmtId="170" fontId="19" fillId="0" borderId="0" xfId="0" applyNumberFormat="1" applyFont="1" applyAlignment="1">
      <alignment horizontal="center"/>
    </xf>
    <xf numFmtId="164" fontId="19" fillId="25" borderId="0" xfId="0" applyNumberFormat="1" applyFont="1" applyFill="1" applyAlignment="1">
      <alignment horizontal="center"/>
    </xf>
    <xf numFmtId="165" fontId="19" fillId="0" borderId="0" xfId="0" applyNumberFormat="1" applyFont="1" applyAlignment="1">
      <alignment horizontal="center"/>
    </xf>
    <xf numFmtId="165" fontId="19" fillId="25" borderId="0" xfId="0" applyNumberFormat="1" applyFont="1" applyFill="1" applyAlignment="1">
      <alignment horizontal="center"/>
    </xf>
    <xf numFmtId="0" fontId="23" fillId="0" borderId="0" xfId="0" applyFont="1"/>
    <xf numFmtId="3" fontId="21" fillId="21" borderId="0" xfId="0" applyNumberFormat="1" applyFont="1" applyFill="1"/>
    <xf numFmtId="164" fontId="23" fillId="0" borderId="0" xfId="0" applyNumberFormat="1" applyFont="1"/>
    <xf numFmtId="170" fontId="23" fillId="0" borderId="0" xfId="0" applyNumberFormat="1" applyFont="1"/>
    <xf numFmtId="0" fontId="24" fillId="11" borderId="0" xfId="0" applyFont="1" applyFill="1" applyAlignment="1">
      <alignment horizontal="center"/>
    </xf>
    <xf numFmtId="0" fontId="24" fillId="26" borderId="0" xfId="0" applyFont="1" applyFill="1" applyAlignment="1">
      <alignment horizontal="center"/>
    </xf>
    <xf numFmtId="166" fontId="19" fillId="0" borderId="0" xfId="0" applyNumberFormat="1" applyFont="1"/>
    <xf numFmtId="164" fontId="19" fillId="0" borderId="0" xfId="0" applyNumberFormat="1" applyFont="1"/>
    <xf numFmtId="1" fontId="19" fillId="0" borderId="0" xfId="0" applyNumberFormat="1" applyFont="1"/>
    <xf numFmtId="0" fontId="26" fillId="0" borderId="0" xfId="0" applyFont="1"/>
    <xf numFmtId="0" fontId="20" fillId="0" borderId="0" xfId="0" applyFont="1"/>
    <xf numFmtId="0" fontId="27" fillId="0" borderId="0" xfId="0" applyFont="1"/>
    <xf numFmtId="0" fontId="28" fillId="0" borderId="0" xfId="0" applyFont="1"/>
    <xf numFmtId="0" fontId="30" fillId="20" borderId="0" xfId="0" applyFont="1" applyFill="1"/>
    <xf numFmtId="0" fontId="30" fillId="20" borderId="0" xfId="0" applyFont="1" applyFill="1" applyAlignment="1">
      <alignment horizontal="center"/>
    </xf>
    <xf numFmtId="0" fontId="31" fillId="0" borderId="0" xfId="0" applyFont="1"/>
    <xf numFmtId="0" fontId="31" fillId="25" borderId="0" xfId="0" applyFont="1" applyFill="1"/>
    <xf numFmtId="0" fontId="21" fillId="0" borderId="0" xfId="0" applyFont="1"/>
    <xf numFmtId="0" fontId="21" fillId="21" borderId="0" xfId="0" applyFont="1" applyFill="1"/>
    <xf numFmtId="0" fontId="33" fillId="0" borderId="0" xfId="0" applyFont="1"/>
    <xf numFmtId="0" fontId="34" fillId="0" borderId="0" xfId="0" applyFont="1"/>
    <xf numFmtId="0" fontId="35" fillId="0" borderId="0" xfId="0" applyFont="1"/>
    <xf numFmtId="0" fontId="36" fillId="0" borderId="0" xfId="0" applyFont="1"/>
    <xf numFmtId="0" fontId="34" fillId="22" borderId="0" xfId="0" applyFont="1" applyFill="1"/>
    <xf numFmtId="0" fontId="37" fillId="0" borderId="0" xfId="0" applyFont="1"/>
    <xf numFmtId="0" fontId="38" fillId="0" borderId="0" xfId="0" applyFont="1"/>
    <xf numFmtId="0" fontId="40" fillId="0" borderId="0" xfId="0" applyFont="1"/>
    <xf numFmtId="4" fontId="37" fillId="0" borderId="0" xfId="0" applyNumberFormat="1" applyFont="1" applyAlignment="1">
      <alignment horizontal="center"/>
    </xf>
    <xf numFmtId="4" fontId="38" fillId="0" borderId="0" xfId="0" applyNumberFormat="1" applyFont="1" applyAlignment="1">
      <alignment horizontal="center"/>
    </xf>
    <xf numFmtId="0" fontId="30" fillId="3" borderId="0" xfId="0" applyFont="1" applyFill="1" applyAlignment="1">
      <alignment horizontal="center"/>
    </xf>
    <xf numFmtId="0" fontId="30" fillId="24" borderId="0" xfId="0" applyFont="1" applyFill="1" applyAlignment="1">
      <alignment horizontal="center"/>
    </xf>
    <xf numFmtId="0" fontId="42" fillId="0" borderId="0" xfId="0" applyFont="1"/>
    <xf numFmtId="3" fontId="5" fillId="0" borderId="32" xfId="0" applyNumberFormat="1" applyFont="1" applyBorder="1" applyAlignment="1">
      <alignment horizontal="center" vertical="center"/>
    </xf>
    <xf numFmtId="3" fontId="5" fillId="0" borderId="0" xfId="0" applyNumberFormat="1" applyFont="1" applyAlignment="1">
      <alignment horizontal="center" vertical="center"/>
    </xf>
    <xf numFmtId="0" fontId="6" fillId="0" borderId="53" xfId="0" applyFont="1" applyBorder="1" applyAlignment="1">
      <alignment vertical="center" wrapText="1"/>
    </xf>
    <xf numFmtId="0" fontId="6" fillId="0" borderId="53"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xf>
    <xf numFmtId="3" fontId="6" fillId="0" borderId="1" xfId="0" applyNumberFormat="1" applyFont="1" applyBorder="1" applyAlignment="1">
      <alignment horizontal="center" vertical="center"/>
    </xf>
    <xf numFmtId="0" fontId="6" fillId="0" borderId="48" xfId="0" applyFont="1" applyBorder="1" applyAlignment="1">
      <alignment vertical="center" wrapText="1"/>
    </xf>
    <xf numFmtId="3" fontId="6" fillId="0" borderId="48" xfId="0" applyNumberFormat="1" applyFont="1" applyBorder="1" applyAlignment="1">
      <alignment horizontal="center" vertical="center"/>
    </xf>
    <xf numFmtId="3" fontId="6" fillId="0" borderId="33" xfId="0" applyNumberFormat="1" applyFont="1" applyBorder="1" applyAlignment="1">
      <alignment horizontal="center" vertical="center"/>
    </xf>
    <xf numFmtId="0" fontId="4" fillId="3" borderId="72" xfId="0" applyFont="1" applyFill="1" applyBorder="1" applyAlignment="1">
      <alignment horizontal="center" vertical="center"/>
    </xf>
    <xf numFmtId="0" fontId="5" fillId="0" borderId="61" xfId="0" applyFont="1" applyBorder="1" applyAlignment="1">
      <alignment horizontal="center" vertical="center"/>
    </xf>
    <xf numFmtId="164" fontId="13" fillId="0" borderId="61" xfId="0" applyNumberFormat="1" applyFont="1" applyBorder="1" applyAlignment="1">
      <alignment horizontal="center" vertical="center"/>
    </xf>
    <xf numFmtId="0" fontId="5" fillId="0" borderId="72" xfId="0" applyFont="1" applyBorder="1" applyAlignment="1">
      <alignment horizontal="center" vertical="center"/>
    </xf>
    <xf numFmtId="0" fontId="6" fillId="0" borderId="76" xfId="0" applyFont="1" applyBorder="1" applyAlignment="1">
      <alignment horizontal="center" vertical="center"/>
    </xf>
    <xf numFmtId="0" fontId="6" fillId="0" borderId="77" xfId="0" applyFont="1" applyBorder="1" applyAlignment="1">
      <alignment horizontal="center" vertical="center"/>
    </xf>
    <xf numFmtId="3" fontId="5" fillId="0" borderId="61" xfId="0" applyNumberFormat="1" applyFont="1" applyBorder="1" applyAlignment="1">
      <alignment horizontal="center" vertical="center"/>
    </xf>
    <xf numFmtId="3" fontId="6" fillId="0" borderId="77" xfId="0" applyNumberFormat="1" applyFont="1" applyBorder="1" applyAlignment="1">
      <alignment horizontal="center" vertical="center"/>
    </xf>
    <xf numFmtId="3" fontId="6" fillId="0" borderId="78" xfId="0" applyNumberFormat="1" applyFont="1" applyBorder="1" applyAlignment="1">
      <alignment horizontal="center" vertical="center"/>
    </xf>
    <xf numFmtId="0" fontId="5" fillId="0" borderId="79" xfId="0" applyFont="1" applyBorder="1" applyAlignment="1">
      <alignment horizontal="center" vertical="center"/>
    </xf>
    <xf numFmtId="0" fontId="5" fillId="4" borderId="72" xfId="0" applyFont="1" applyFill="1" applyBorder="1" applyAlignment="1">
      <alignment horizontal="center" vertical="center"/>
    </xf>
    <xf numFmtId="0" fontId="6" fillId="8" borderId="61" xfId="0" applyFont="1" applyFill="1" applyBorder="1" applyAlignment="1">
      <alignment horizontal="center" vertical="center"/>
    </xf>
    <xf numFmtId="0" fontId="5" fillId="0" borderId="61" xfId="0" applyFont="1" applyBorder="1"/>
    <xf numFmtId="0" fontId="5" fillId="4" borderId="61" xfId="0" applyFont="1" applyFill="1" applyBorder="1"/>
    <xf numFmtId="0" fontId="6" fillId="18" borderId="61" xfId="0" applyFont="1" applyFill="1" applyBorder="1" applyAlignment="1">
      <alignment horizontal="center"/>
    </xf>
    <xf numFmtId="0" fontId="26" fillId="0" borderId="0" xfId="0" applyFont="1" applyAlignment="1">
      <alignment wrapText="1"/>
    </xf>
    <xf numFmtId="0" fontId="26" fillId="0" borderId="0" xfId="0" applyFont="1" applyAlignment="1">
      <alignment vertical="top" wrapText="1"/>
    </xf>
    <xf numFmtId="0" fontId="21" fillId="4" borderId="4" xfId="0" applyFont="1" applyFill="1" applyBorder="1" applyAlignment="1">
      <alignment vertical="center" wrapText="1"/>
    </xf>
    <xf numFmtId="0" fontId="19" fillId="4" borderId="4" xfId="0" applyFont="1" applyFill="1" applyBorder="1" applyAlignment="1">
      <alignment horizontal="center" vertical="center"/>
    </xf>
    <xf numFmtId="0" fontId="43" fillId="21" borderId="4" xfId="0" applyFont="1" applyFill="1" applyBorder="1" applyAlignment="1">
      <alignment horizontal="left" vertical="center" wrapText="1"/>
    </xf>
    <xf numFmtId="0" fontId="45" fillId="0" borderId="0" xfId="0" applyFont="1"/>
    <xf numFmtId="0" fontId="46" fillId="0" borderId="0" xfId="0" applyFont="1"/>
    <xf numFmtId="0" fontId="21" fillId="21" borderId="4" xfId="0" applyFont="1" applyFill="1" applyBorder="1" applyAlignment="1">
      <alignment horizontal="center" vertical="center"/>
    </xf>
    <xf numFmtId="0" fontId="19" fillId="4" borderId="0" xfId="0" applyFont="1" applyFill="1"/>
    <xf numFmtId="0" fontId="21" fillId="4" borderId="0" xfId="0" applyFont="1" applyFill="1"/>
    <xf numFmtId="184" fontId="7" fillId="0" borderId="0" xfId="0" applyNumberFormat="1" applyFont="1" applyAlignment="1">
      <alignment horizontal="center" vertical="center"/>
    </xf>
    <xf numFmtId="184" fontId="7" fillId="0" borderId="61" xfId="0" applyNumberFormat="1" applyFont="1" applyBorder="1" applyAlignment="1">
      <alignment horizontal="center" vertical="center"/>
    </xf>
    <xf numFmtId="184" fontId="5" fillId="0" borderId="32" xfId="0" applyNumberFormat="1" applyFont="1" applyBorder="1" applyAlignment="1">
      <alignment horizontal="center" vertical="center"/>
    </xf>
    <xf numFmtId="184" fontId="5" fillId="0" borderId="73" xfId="0" applyNumberFormat="1" applyFont="1" applyBorder="1" applyAlignment="1">
      <alignment horizontal="center" vertical="center"/>
    </xf>
    <xf numFmtId="184" fontId="6" fillId="0" borderId="32" xfId="0" applyNumberFormat="1" applyFont="1" applyBorder="1" applyAlignment="1">
      <alignment horizontal="center" vertical="center"/>
    </xf>
    <xf numFmtId="184" fontId="6" fillId="0" borderId="73" xfId="0" applyNumberFormat="1" applyFont="1" applyBorder="1" applyAlignment="1">
      <alignment horizontal="center" vertical="center"/>
    </xf>
    <xf numFmtId="184" fontId="8" fillId="0" borderId="0" xfId="0" applyNumberFormat="1" applyFont="1" applyAlignment="1">
      <alignment horizontal="center" vertical="center"/>
    </xf>
    <xf numFmtId="184" fontId="8" fillId="0" borderId="61" xfId="0" applyNumberFormat="1" applyFont="1" applyBorder="1" applyAlignment="1">
      <alignment horizontal="center" vertical="center"/>
    </xf>
    <xf numFmtId="184" fontId="38" fillId="0" borderId="0" xfId="0" applyNumberFormat="1" applyFont="1" applyAlignment="1">
      <alignment horizontal="center" vertical="center"/>
    </xf>
    <xf numFmtId="184" fontId="9" fillId="0" borderId="32" xfId="0" applyNumberFormat="1" applyFont="1" applyBorder="1" applyAlignment="1">
      <alignment horizontal="center" vertical="center"/>
    </xf>
    <xf numFmtId="184" fontId="9" fillId="0" borderId="73" xfId="0" applyNumberFormat="1" applyFont="1" applyBorder="1" applyAlignment="1">
      <alignment horizontal="center" vertical="center"/>
    </xf>
    <xf numFmtId="184" fontId="6" fillId="0" borderId="33" xfId="0" applyNumberFormat="1" applyFont="1" applyBorder="1" applyAlignment="1">
      <alignment horizontal="center" vertical="center"/>
    </xf>
    <xf numFmtId="184" fontId="6" fillId="0" borderId="74" xfId="0" applyNumberFormat="1" applyFont="1" applyBorder="1" applyAlignment="1">
      <alignment horizontal="center" vertical="center"/>
    </xf>
    <xf numFmtId="184" fontId="5" fillId="0" borderId="0" xfId="0" applyNumberFormat="1" applyFont="1" applyAlignment="1">
      <alignment horizontal="center" vertical="center"/>
    </xf>
    <xf numFmtId="184" fontId="15" fillId="0" borderId="0" xfId="0" applyNumberFormat="1" applyFont="1" applyAlignment="1">
      <alignment horizontal="center" vertical="center"/>
    </xf>
    <xf numFmtId="184" fontId="6" fillId="0" borderId="1" xfId="0" applyNumberFormat="1" applyFont="1" applyBorder="1" applyAlignment="1">
      <alignment horizontal="center" vertical="center"/>
    </xf>
    <xf numFmtId="184" fontId="6" fillId="0" borderId="77" xfId="0" applyNumberFormat="1" applyFont="1" applyBorder="1" applyAlignment="1">
      <alignment horizontal="center" vertical="center"/>
    </xf>
    <xf numFmtId="184" fontId="20" fillId="0" borderId="0" xfId="0" applyNumberFormat="1" applyFont="1" applyAlignment="1">
      <alignment horizontal="center" vertical="center"/>
    </xf>
    <xf numFmtId="184" fontId="5" fillId="0" borderId="61" xfId="0" applyNumberFormat="1" applyFont="1" applyBorder="1" applyAlignment="1">
      <alignment horizontal="center" vertical="center"/>
    </xf>
    <xf numFmtId="184" fontId="7" fillId="0" borderId="73" xfId="0" applyNumberFormat="1" applyFont="1" applyBorder="1" applyAlignment="1">
      <alignment horizontal="center" vertical="center"/>
    </xf>
    <xf numFmtId="184" fontId="20" fillId="0" borderId="32" xfId="0" applyNumberFormat="1" applyFont="1" applyBorder="1" applyAlignment="1">
      <alignment horizontal="center" vertical="center"/>
    </xf>
    <xf numFmtId="184" fontId="10" fillId="0" borderId="61" xfId="0" applyNumberFormat="1" applyFont="1" applyBorder="1" applyAlignment="1">
      <alignment horizontal="center" vertical="center"/>
    </xf>
    <xf numFmtId="184" fontId="10" fillId="0" borderId="0" xfId="0" applyNumberFormat="1" applyFont="1" applyAlignment="1">
      <alignment horizontal="center" vertical="center"/>
    </xf>
    <xf numFmtId="185" fontId="5" fillId="8" borderId="0" xfId="0" applyNumberFormat="1" applyFont="1" applyFill="1" applyAlignment="1">
      <alignment horizontal="center" vertical="center"/>
    </xf>
    <xf numFmtId="185" fontId="5" fillId="8" borderId="61" xfId="0" applyNumberFormat="1" applyFont="1" applyFill="1" applyBorder="1" applyAlignment="1">
      <alignment horizontal="center" vertical="center"/>
    </xf>
    <xf numFmtId="185" fontId="15" fillId="8" borderId="61" xfId="0" applyNumberFormat="1" applyFont="1" applyFill="1" applyBorder="1" applyAlignment="1">
      <alignment horizontal="center"/>
    </xf>
    <xf numFmtId="185" fontId="15" fillId="8" borderId="0" xfId="0" applyNumberFormat="1" applyFont="1" applyFill="1" applyAlignment="1">
      <alignment horizontal="center"/>
    </xf>
    <xf numFmtId="185" fontId="10" fillId="8" borderId="61" xfId="0" applyNumberFormat="1" applyFont="1" applyFill="1" applyBorder="1" applyAlignment="1">
      <alignment horizontal="center"/>
    </xf>
    <xf numFmtId="0" fontId="21" fillId="21" borderId="4" xfId="0" applyFont="1" applyFill="1" applyBorder="1" applyAlignment="1">
      <alignment horizontal="left" vertical="center"/>
    </xf>
    <xf numFmtId="0" fontId="21" fillId="21" borderId="72" xfId="0" applyFont="1" applyFill="1" applyBorder="1" applyAlignment="1">
      <alignment horizontal="left" vertical="center"/>
    </xf>
    <xf numFmtId="0" fontId="21" fillId="0" borderId="0" xfId="0" applyFont="1" applyAlignment="1">
      <alignment vertical="center" wrapText="1"/>
    </xf>
    <xf numFmtId="0" fontId="21" fillId="0" borderId="32" xfId="0" applyFont="1" applyBorder="1" applyAlignment="1">
      <alignment vertical="center" wrapText="1"/>
    </xf>
    <xf numFmtId="0" fontId="21" fillId="0" borderId="1" xfId="0" applyFont="1" applyBorder="1" applyAlignment="1">
      <alignment vertical="center" wrapText="1"/>
    </xf>
    <xf numFmtId="0" fontId="48" fillId="0" borderId="0" xfId="0" applyFont="1" applyAlignment="1">
      <alignment vertical="center" wrapText="1"/>
    </xf>
    <xf numFmtId="0" fontId="48" fillId="0" borderId="32" xfId="0" applyFont="1" applyBorder="1" applyAlignment="1">
      <alignment vertical="center" wrapText="1"/>
    </xf>
    <xf numFmtId="0" fontId="48" fillId="0" borderId="33" xfId="0" applyFont="1" applyBorder="1" applyAlignment="1">
      <alignment vertical="center" wrapText="1"/>
    </xf>
    <xf numFmtId="0" fontId="48" fillId="0" borderId="1" xfId="0" applyFont="1" applyBorder="1" applyAlignment="1">
      <alignment vertical="center" wrapText="1"/>
    </xf>
    <xf numFmtId="0" fontId="40" fillId="0" borderId="0" xfId="0" applyFont="1" applyAlignment="1">
      <alignment vertical="center" wrapText="1"/>
    </xf>
    <xf numFmtId="0" fontId="40" fillId="0" borderId="34" xfId="0" applyFont="1" applyBorder="1" applyAlignment="1">
      <alignment vertical="center" wrapText="1"/>
    </xf>
    <xf numFmtId="0" fontId="49" fillId="0" borderId="0" xfId="0" applyFont="1" applyAlignment="1">
      <alignment vertical="center" wrapText="1"/>
    </xf>
    <xf numFmtId="0" fontId="50" fillId="25" borderId="0" xfId="1" applyFont="1" applyFill="1"/>
    <xf numFmtId="0" fontId="50" fillId="0" borderId="0" xfId="1" applyFont="1"/>
    <xf numFmtId="0" fontId="23" fillId="21" borderId="0" xfId="0" applyFont="1" applyFill="1"/>
    <xf numFmtId="0" fontId="52" fillId="0" borderId="0" xfId="0" applyFont="1"/>
    <xf numFmtId="0" fontId="53" fillId="0" borderId="0" xfId="0" applyFont="1"/>
    <xf numFmtId="0" fontId="24" fillId="0" borderId="0" xfId="0" applyFont="1"/>
    <xf numFmtId="0" fontId="44" fillId="0" borderId="0" xfId="0" applyFont="1"/>
    <xf numFmtId="0" fontId="47" fillId="0" borderId="0" xfId="0" applyFont="1"/>
    <xf numFmtId="0" fontId="48" fillId="0" borderId="0" xfId="0" applyFont="1"/>
    <xf numFmtId="0" fontId="42" fillId="2" borderId="0" xfId="0" applyFont="1" applyFill="1"/>
    <xf numFmtId="0" fontId="30" fillId="3" borderId="0" xfId="0" applyFont="1" applyFill="1"/>
    <xf numFmtId="0" fontId="54" fillId="3" borderId="0" xfId="0" applyFont="1" applyFill="1"/>
    <xf numFmtId="0" fontId="55" fillId="4" borderId="0" xfId="0" applyFont="1" applyFill="1"/>
    <xf numFmtId="0" fontId="56" fillId="5" borderId="0" xfId="0" applyFont="1" applyFill="1" applyAlignment="1">
      <alignment horizontal="center"/>
    </xf>
    <xf numFmtId="0" fontId="49" fillId="6" borderId="0" xfId="0" applyFont="1" applyFill="1" applyAlignment="1">
      <alignment horizontal="center"/>
    </xf>
    <xf numFmtId="0" fontId="57" fillId="7" borderId="0" xfId="0" applyFont="1" applyFill="1" applyAlignment="1">
      <alignment horizontal="center"/>
    </xf>
    <xf numFmtId="0" fontId="58" fillId="0" borderId="0" xfId="0" applyFont="1"/>
    <xf numFmtId="164" fontId="37" fillId="0" borderId="0" xfId="0" applyNumberFormat="1" applyFont="1" applyAlignment="1">
      <alignment horizontal="center"/>
    </xf>
    <xf numFmtId="164" fontId="38" fillId="0" borderId="0" xfId="0" applyNumberFormat="1" applyFont="1" applyAlignment="1">
      <alignment horizontal="center"/>
    </xf>
    <xf numFmtId="164" fontId="39" fillId="0" borderId="0" xfId="0" applyNumberFormat="1" applyFont="1" applyAlignment="1">
      <alignment horizontal="center"/>
    </xf>
    <xf numFmtId="10" fontId="37" fillId="0" borderId="0" xfId="0" applyNumberFormat="1" applyFont="1" applyAlignment="1">
      <alignment horizontal="center"/>
    </xf>
    <xf numFmtId="10" fontId="38" fillId="0" borderId="0" xfId="0" applyNumberFormat="1" applyFont="1" applyAlignment="1">
      <alignment horizontal="center"/>
    </xf>
    <xf numFmtId="165" fontId="38" fillId="0" borderId="0" xfId="0" applyNumberFormat="1" applyFont="1" applyAlignment="1">
      <alignment horizontal="center"/>
    </xf>
    <xf numFmtId="1" fontId="37" fillId="0" borderId="0" xfId="0" applyNumberFormat="1" applyFont="1" applyAlignment="1">
      <alignment horizontal="center"/>
    </xf>
    <xf numFmtId="1" fontId="38" fillId="0" borderId="0" xfId="0" applyNumberFormat="1" applyFont="1" applyAlignment="1">
      <alignment horizontal="center"/>
    </xf>
    <xf numFmtId="1" fontId="39" fillId="0" borderId="0" xfId="0" applyNumberFormat="1" applyFont="1" applyAlignment="1">
      <alignment horizontal="center"/>
    </xf>
    <xf numFmtId="2" fontId="37" fillId="0" borderId="0" xfId="0" applyNumberFormat="1" applyFont="1" applyAlignment="1">
      <alignment horizontal="center"/>
    </xf>
    <xf numFmtId="2" fontId="38" fillId="0" borderId="0" xfId="0" applyNumberFormat="1" applyFont="1" applyAlignment="1">
      <alignment horizontal="center"/>
    </xf>
    <xf numFmtId="2" fontId="39" fillId="0" borderId="0" xfId="0" applyNumberFormat="1" applyFont="1" applyAlignment="1">
      <alignment horizontal="center"/>
    </xf>
    <xf numFmtId="10" fontId="47" fillId="0" borderId="0" xfId="0" applyNumberFormat="1" applyFont="1" applyAlignment="1">
      <alignment horizontal="center"/>
    </xf>
    <xf numFmtId="167" fontId="47" fillId="0" borderId="0" xfId="0" applyNumberFormat="1" applyFont="1" applyAlignment="1">
      <alignment horizontal="center"/>
    </xf>
    <xf numFmtId="167" fontId="55" fillId="9" borderId="0" xfId="0" applyNumberFormat="1" applyFont="1" applyFill="1" applyAlignment="1">
      <alignment horizontal="center"/>
    </xf>
    <xf numFmtId="0" fontId="30" fillId="10" borderId="0" xfId="0" applyFont="1" applyFill="1"/>
    <xf numFmtId="0" fontId="24" fillId="11" borderId="0" xfId="0" applyFont="1" applyFill="1"/>
    <xf numFmtId="0" fontId="48" fillId="11" borderId="0" xfId="0" applyFont="1" applyFill="1"/>
    <xf numFmtId="0" fontId="59" fillId="0" borderId="0" xfId="0" applyFont="1"/>
    <xf numFmtId="168" fontId="37" fillId="0" borderId="0" xfId="0" applyNumberFormat="1" applyFont="1"/>
    <xf numFmtId="168" fontId="38" fillId="0" borderId="0" xfId="0" applyNumberFormat="1" applyFont="1"/>
    <xf numFmtId="168" fontId="39" fillId="0" borderId="0" xfId="0" applyNumberFormat="1" applyFont="1"/>
    <xf numFmtId="182" fontId="37" fillId="0" borderId="0" xfId="0" applyNumberFormat="1" applyFont="1"/>
    <xf numFmtId="182" fontId="38" fillId="0" borderId="0" xfId="0" applyNumberFormat="1" applyFont="1"/>
    <xf numFmtId="182" fontId="39" fillId="0" borderId="0" xfId="0" applyNumberFormat="1" applyFont="1"/>
    <xf numFmtId="169" fontId="37" fillId="0" borderId="0" xfId="0" applyNumberFormat="1" applyFont="1"/>
    <xf numFmtId="169" fontId="38" fillId="0" borderId="0" xfId="0" applyNumberFormat="1" applyFont="1"/>
    <xf numFmtId="169" fontId="39" fillId="0" borderId="0" xfId="0" applyNumberFormat="1" applyFont="1"/>
    <xf numFmtId="1" fontId="37" fillId="0" borderId="0" xfId="0" applyNumberFormat="1" applyFont="1"/>
    <xf numFmtId="1" fontId="38" fillId="0" borderId="0" xfId="0" applyNumberFormat="1" applyFont="1"/>
    <xf numFmtId="1" fontId="39" fillId="0" borderId="0" xfId="0" applyNumberFormat="1" applyFont="1"/>
    <xf numFmtId="0" fontId="60" fillId="3" borderId="0" xfId="0" applyFont="1" applyFill="1" applyAlignment="1">
      <alignment horizontal="center"/>
    </xf>
    <xf numFmtId="0" fontId="49" fillId="0" borderId="0" xfId="0" applyFont="1"/>
    <xf numFmtId="0" fontId="61" fillId="21" borderId="0" xfId="0" applyFont="1" applyFill="1"/>
    <xf numFmtId="0" fontId="41" fillId="21" borderId="0" xfId="0" applyFont="1" applyFill="1"/>
    <xf numFmtId="0" fontId="21" fillId="4" borderId="1" xfId="0" applyFont="1" applyFill="1" applyBorder="1"/>
    <xf numFmtId="0" fontId="47" fillId="0" borderId="2" xfId="0" applyFont="1" applyBorder="1"/>
    <xf numFmtId="3" fontId="19" fillId="12" borderId="2" xfId="0" applyNumberFormat="1" applyFont="1" applyFill="1" applyBorder="1" applyAlignment="1">
      <alignment horizontal="center"/>
    </xf>
    <xf numFmtId="0" fontId="19" fillId="0" borderId="2" xfId="0" applyFont="1" applyBorder="1"/>
    <xf numFmtId="164" fontId="19" fillId="0" borderId="2" xfId="0" applyNumberFormat="1" applyFont="1" applyBorder="1" applyAlignment="1">
      <alignment horizontal="center"/>
    </xf>
    <xf numFmtId="170" fontId="19" fillId="12" borderId="2" xfId="0" applyNumberFormat="1" applyFont="1" applyFill="1" applyBorder="1" applyAlignment="1">
      <alignment horizontal="center"/>
    </xf>
    <xf numFmtId="0" fontId="19" fillId="0" borderId="3" xfId="0" applyFont="1" applyBorder="1"/>
    <xf numFmtId="170" fontId="19" fillId="0" borderId="3" xfId="0" applyNumberFormat="1" applyFont="1" applyBorder="1" applyAlignment="1">
      <alignment horizontal="center"/>
    </xf>
    <xf numFmtId="0" fontId="19" fillId="0" borderId="4" xfId="0" applyFont="1" applyBorder="1"/>
    <xf numFmtId="164" fontId="19" fillId="12" borderId="4" xfId="0" applyNumberFormat="1" applyFont="1" applyFill="1" applyBorder="1" applyAlignment="1">
      <alignment horizontal="center"/>
    </xf>
    <xf numFmtId="164" fontId="19" fillId="12" borderId="0" xfId="0" applyNumberFormat="1" applyFont="1" applyFill="1" applyAlignment="1">
      <alignment horizontal="center"/>
    </xf>
    <xf numFmtId="49" fontId="19" fillId="4" borderId="5" xfId="0" applyNumberFormat="1" applyFont="1" applyFill="1" applyBorder="1" applyAlignment="1">
      <alignment horizontal="center"/>
    </xf>
    <xf numFmtId="49" fontId="62" fillId="2" borderId="0" xfId="0" applyNumberFormat="1" applyFont="1" applyFill="1" applyAlignment="1">
      <alignment horizontal="center"/>
    </xf>
    <xf numFmtId="165" fontId="19" fillId="2" borderId="0" xfId="0" applyNumberFormat="1" applyFont="1" applyFill="1" applyAlignment="1">
      <alignment horizontal="center"/>
    </xf>
    <xf numFmtId="49" fontId="62" fillId="12" borderId="0" xfId="0" applyNumberFormat="1" applyFont="1" applyFill="1" applyAlignment="1">
      <alignment horizontal="center"/>
    </xf>
    <xf numFmtId="165" fontId="19" fillId="12" borderId="0" xfId="0" applyNumberFormat="1" applyFont="1" applyFill="1" applyAlignment="1">
      <alignment horizontal="center"/>
    </xf>
    <xf numFmtId="0" fontId="60" fillId="13" borderId="0" xfId="0" applyFont="1" applyFill="1"/>
    <xf numFmtId="0" fontId="23" fillId="13" borderId="0" xfId="0" applyFont="1" applyFill="1"/>
    <xf numFmtId="0" fontId="43" fillId="0" borderId="0" xfId="0" applyFont="1"/>
    <xf numFmtId="167" fontId="27" fillId="9" borderId="0" xfId="0" applyNumberFormat="1" applyFont="1" applyFill="1" applyAlignment="1">
      <alignment horizontal="center"/>
    </xf>
    <xf numFmtId="0" fontId="63" fillId="0" borderId="0" xfId="0" applyFont="1" applyAlignment="1">
      <alignment horizontal="right"/>
    </xf>
    <xf numFmtId="10" fontId="21" fillId="0" borderId="0" xfId="0" applyNumberFormat="1" applyFont="1"/>
    <xf numFmtId="0" fontId="64" fillId="0" borderId="0" xfId="0" applyFont="1"/>
    <xf numFmtId="3" fontId="21" fillId="4" borderId="1" xfId="0" applyNumberFormat="1" applyFont="1" applyFill="1" applyBorder="1"/>
    <xf numFmtId="165" fontId="23" fillId="0" borderId="0" xfId="0" applyNumberFormat="1" applyFont="1"/>
    <xf numFmtId="165" fontId="21" fillId="4" borderId="1" xfId="0" applyNumberFormat="1" applyFont="1" applyFill="1" applyBorder="1"/>
    <xf numFmtId="0" fontId="65" fillId="8" borderId="0" xfId="0" applyFont="1" applyFill="1" applyAlignment="1">
      <alignment horizontal="center"/>
    </xf>
    <xf numFmtId="0" fontId="66" fillId="0" borderId="0" xfId="0" applyFont="1"/>
    <xf numFmtId="0" fontId="67" fillId="0" borderId="0" xfId="0" applyFont="1"/>
    <xf numFmtId="166" fontId="53" fillId="0" borderId="0" xfId="0" applyNumberFormat="1" applyFont="1"/>
    <xf numFmtId="164" fontId="53" fillId="0" borderId="0" xfId="0" applyNumberFormat="1" applyFont="1"/>
    <xf numFmtId="1" fontId="53" fillId="0" borderId="0" xfId="0" applyNumberFormat="1" applyFont="1"/>
    <xf numFmtId="0" fontId="30" fillId="2" borderId="0" xfId="0" applyFont="1" applyFill="1"/>
    <xf numFmtId="0" fontId="32" fillId="2" borderId="0" xfId="0" applyFont="1" applyFill="1"/>
    <xf numFmtId="0" fontId="42" fillId="2" borderId="0" xfId="0" applyFont="1" applyFill="1" applyAlignment="1">
      <alignment horizontal="center"/>
    </xf>
    <xf numFmtId="0" fontId="68" fillId="3" borderId="0" xfId="0" applyFont="1" applyFill="1"/>
    <xf numFmtId="49" fontId="68" fillId="3" borderId="0" xfId="0" applyNumberFormat="1" applyFont="1" applyFill="1"/>
    <xf numFmtId="0" fontId="21" fillId="4" borderId="1" xfId="0" applyFont="1" applyFill="1" applyBorder="1" applyAlignment="1">
      <alignment horizontal="center"/>
    </xf>
    <xf numFmtId="172" fontId="19" fillId="0" borderId="0" xfId="0" applyNumberFormat="1" applyFont="1"/>
    <xf numFmtId="0" fontId="46" fillId="14" borderId="0" xfId="0" applyFont="1" applyFill="1"/>
    <xf numFmtId="0" fontId="69" fillId="0" borderId="0" xfId="0" applyFont="1"/>
    <xf numFmtId="173" fontId="69" fillId="0" borderId="0" xfId="0" applyNumberFormat="1" applyFont="1" applyAlignment="1">
      <alignment horizontal="right"/>
    </xf>
    <xf numFmtId="10" fontId="69" fillId="0" borderId="0" xfId="0" applyNumberFormat="1" applyFont="1"/>
    <xf numFmtId="0" fontId="70" fillId="14" borderId="0" xfId="0" applyFont="1" applyFill="1"/>
    <xf numFmtId="10" fontId="28" fillId="0" borderId="0" xfId="0" applyNumberFormat="1" applyFont="1"/>
    <xf numFmtId="0" fontId="19" fillId="0" borderId="6" xfId="0" applyFont="1" applyBorder="1"/>
    <xf numFmtId="172" fontId="19" fillId="0" borderId="6" xfId="0" applyNumberFormat="1" applyFont="1" applyBorder="1"/>
    <xf numFmtId="10" fontId="70" fillId="14" borderId="0" xfId="0" applyNumberFormat="1" applyFont="1" applyFill="1"/>
    <xf numFmtId="172" fontId="28" fillId="0" borderId="0" xfId="0" applyNumberFormat="1" applyFont="1"/>
    <xf numFmtId="0" fontId="47" fillId="0" borderId="6" xfId="0" applyFont="1" applyBorder="1"/>
    <xf numFmtId="0" fontId="47" fillId="0" borderId="6" xfId="0" applyFont="1" applyBorder="1" applyAlignment="1">
      <alignment horizontal="center"/>
    </xf>
    <xf numFmtId="0" fontId="48" fillId="2" borderId="0" xfId="0" applyFont="1" applyFill="1"/>
    <xf numFmtId="0" fontId="20" fillId="2" borderId="0" xfId="0" applyFont="1" applyFill="1"/>
    <xf numFmtId="0" fontId="48" fillId="2" borderId="0" xfId="0" applyFont="1" applyFill="1" applyAlignment="1">
      <alignment horizontal="center"/>
    </xf>
    <xf numFmtId="0" fontId="71" fillId="2" borderId="0" xfId="0" applyFont="1" applyFill="1" applyAlignment="1">
      <alignment horizontal="center"/>
    </xf>
    <xf numFmtId="0" fontId="63" fillId="2" borderId="0" xfId="0" applyFont="1" applyFill="1"/>
    <xf numFmtId="0" fontId="71" fillId="2" borderId="0" xfId="0" applyFont="1" applyFill="1"/>
    <xf numFmtId="0" fontId="72" fillId="2" borderId="0" xfId="0" applyFont="1" applyFill="1"/>
    <xf numFmtId="172" fontId="47" fillId="0" borderId="7" xfId="0" applyNumberFormat="1" applyFont="1" applyBorder="1"/>
    <xf numFmtId="0" fontId="48" fillId="2" borderId="6" xfId="0" applyFont="1" applyFill="1" applyBorder="1"/>
    <xf numFmtId="172" fontId="47" fillId="0" borderId="8" xfId="0" applyNumberFormat="1" applyFont="1" applyBorder="1"/>
    <xf numFmtId="0" fontId="20" fillId="2" borderId="6" xfId="0" applyFont="1" applyFill="1" applyBorder="1"/>
    <xf numFmtId="172" fontId="47" fillId="0" borderId="0" xfId="0" applyNumberFormat="1" applyFont="1"/>
    <xf numFmtId="172" fontId="47" fillId="0" borderId="9" xfId="0" applyNumberFormat="1" applyFont="1" applyBorder="1"/>
    <xf numFmtId="172" fontId="21" fillId="4" borderId="10" xfId="0" applyNumberFormat="1" applyFont="1" applyFill="1" applyBorder="1"/>
    <xf numFmtId="0" fontId="73" fillId="2" borderId="0" xfId="0" applyFont="1" applyFill="1"/>
    <xf numFmtId="172" fontId="19" fillId="9" borderId="0" xfId="0" applyNumberFormat="1" applyFont="1" applyFill="1"/>
    <xf numFmtId="0" fontId="63" fillId="0" borderId="0" xfId="0" applyFont="1"/>
    <xf numFmtId="0" fontId="48" fillId="0" borderId="7" xfId="0" applyFont="1" applyBorder="1"/>
    <xf numFmtId="0" fontId="19" fillId="0" borderId="7" xfId="0" applyFont="1" applyBorder="1"/>
    <xf numFmtId="0" fontId="71" fillId="14" borderId="0" xfId="0" applyFont="1" applyFill="1"/>
    <xf numFmtId="0" fontId="19" fillId="0" borderId="11" xfId="0" applyFont="1" applyBorder="1"/>
    <xf numFmtId="172" fontId="19" fillId="0" borderId="11" xfId="0" applyNumberFormat="1" applyFont="1" applyBorder="1"/>
    <xf numFmtId="0" fontId="30" fillId="16" borderId="0" xfId="0" applyFont="1" applyFill="1" applyAlignment="1">
      <alignment horizontal="center"/>
    </xf>
    <xf numFmtId="0" fontId="19" fillId="0" borderId="0" xfId="0" applyFont="1" applyAlignment="1">
      <alignment vertical="center"/>
    </xf>
    <xf numFmtId="10" fontId="19" fillId="0" borderId="0" xfId="0" applyNumberFormat="1" applyFont="1" applyAlignment="1">
      <alignment horizontal="right" vertical="center"/>
    </xf>
    <xf numFmtId="49" fontId="40" fillId="0" borderId="0" xfId="0" applyNumberFormat="1" applyFont="1" applyAlignment="1">
      <alignment horizontal="left" vertical="center" wrapText="1"/>
    </xf>
    <xf numFmtId="10" fontId="20" fillId="0" borderId="0" xfId="0" applyNumberFormat="1" applyFont="1" applyAlignment="1">
      <alignment horizontal="right" vertical="center"/>
    </xf>
    <xf numFmtId="49" fontId="74" fillId="0" borderId="0" xfId="0" applyNumberFormat="1" applyFont="1" applyAlignment="1">
      <alignment horizontal="center" vertical="center" wrapText="1"/>
    </xf>
    <xf numFmtId="49" fontId="20" fillId="17" borderId="0" xfId="0" applyNumberFormat="1" applyFont="1" applyFill="1" applyAlignment="1">
      <alignment horizontal="left" vertical="top" wrapText="1"/>
    </xf>
    <xf numFmtId="0" fontId="20" fillId="0" borderId="0" xfId="0" applyFont="1" applyAlignment="1">
      <alignment vertical="center"/>
    </xf>
    <xf numFmtId="49" fontId="20" fillId="0" borderId="0" xfId="0" applyNumberFormat="1" applyFont="1" applyAlignment="1">
      <alignment horizontal="left" vertical="top" wrapText="1"/>
    </xf>
    <xf numFmtId="0" fontId="21" fillId="4" borderId="1" xfId="0" applyFont="1" applyFill="1" applyBorder="1" applyAlignment="1">
      <alignment horizontal="center" vertical="center"/>
    </xf>
    <xf numFmtId="49" fontId="40" fillId="4" borderId="0" xfId="0" applyNumberFormat="1" applyFont="1" applyFill="1" applyAlignment="1">
      <alignment horizontal="left" vertical="center" wrapText="1"/>
    </xf>
    <xf numFmtId="49" fontId="20" fillId="4" borderId="0" xfId="0" applyNumberFormat="1" applyFont="1" applyFill="1" applyAlignment="1">
      <alignment horizontal="left" vertical="top" wrapText="1"/>
    </xf>
    <xf numFmtId="0" fontId="20" fillId="2" borderId="0" xfId="0" applyFont="1" applyFill="1" applyAlignment="1">
      <alignment horizontal="center" vertical="center"/>
    </xf>
    <xf numFmtId="0" fontId="21" fillId="4" borderId="1" xfId="0" applyFont="1" applyFill="1" applyBorder="1" applyAlignment="1">
      <alignment vertical="center"/>
    </xf>
    <xf numFmtId="0" fontId="21" fillId="4" borderId="1" xfId="0" applyFont="1" applyFill="1" applyBorder="1" applyAlignment="1">
      <alignment horizontal="left" vertical="center"/>
    </xf>
    <xf numFmtId="0" fontId="21" fillId="4" borderId="1" xfId="0" applyFont="1" applyFill="1" applyBorder="1" applyAlignment="1">
      <alignment horizontal="left"/>
    </xf>
    <xf numFmtId="0" fontId="30" fillId="3" borderId="0" xfId="0" applyFont="1" applyFill="1" applyAlignment="1">
      <alignment horizontal="center" vertical="center"/>
    </xf>
    <xf numFmtId="2" fontId="19" fillId="0" borderId="0" xfId="0" applyNumberFormat="1" applyFont="1" applyAlignment="1">
      <alignment horizontal="right" vertical="center"/>
    </xf>
    <xf numFmtId="0" fontId="23" fillId="0" borderId="0" xfId="0" applyFont="1" applyAlignment="1">
      <alignment vertical="center"/>
    </xf>
    <xf numFmtId="2" fontId="20" fillId="0" borderId="0" xfId="0" applyNumberFormat="1" applyFont="1" applyAlignment="1">
      <alignment horizontal="right" vertical="center"/>
    </xf>
    <xf numFmtId="0" fontId="32" fillId="2" borderId="0" xfId="0" applyFont="1" applyFill="1" applyAlignment="1">
      <alignment vertical="center"/>
    </xf>
    <xf numFmtId="2" fontId="32" fillId="2" borderId="0" xfId="0" applyNumberFormat="1" applyFont="1" applyFill="1" applyAlignment="1">
      <alignment horizontal="right" vertical="center"/>
    </xf>
    <xf numFmtId="0" fontId="21" fillId="2" borderId="0" xfId="0" applyFont="1" applyFill="1" applyAlignment="1">
      <alignment vertical="center"/>
    </xf>
    <xf numFmtId="2" fontId="21" fillId="2" borderId="0" xfId="0" applyNumberFormat="1" applyFont="1" applyFill="1" applyAlignment="1">
      <alignment horizontal="right" vertical="center"/>
    </xf>
    <xf numFmtId="174" fontId="19" fillId="0" borderId="0" xfId="0" applyNumberFormat="1" applyFont="1" applyAlignment="1">
      <alignment horizontal="right" vertical="center"/>
    </xf>
    <xf numFmtId="174" fontId="20" fillId="0" borderId="0" xfId="0" applyNumberFormat="1" applyFont="1" applyAlignment="1">
      <alignment horizontal="right" vertical="center"/>
    </xf>
    <xf numFmtId="0" fontId="23" fillId="2" borderId="0" xfId="0" applyFont="1" applyFill="1"/>
    <xf numFmtId="171" fontId="30" fillId="3" borderId="0" xfId="0" applyNumberFormat="1" applyFont="1" applyFill="1" applyAlignment="1">
      <alignment horizontal="center"/>
    </xf>
    <xf numFmtId="10" fontId="47" fillId="0" borderId="11" xfId="0" applyNumberFormat="1" applyFont="1" applyBorder="1" applyAlignment="1">
      <alignment horizontal="center"/>
    </xf>
    <xf numFmtId="10" fontId="19" fillId="0" borderId="0" xfId="0" applyNumberFormat="1" applyFont="1" applyAlignment="1">
      <alignment horizontal="center"/>
    </xf>
    <xf numFmtId="10" fontId="47" fillId="0" borderId="6" xfId="0" applyNumberFormat="1" applyFont="1" applyBorder="1" applyAlignment="1">
      <alignment horizontal="center"/>
    </xf>
    <xf numFmtId="0" fontId="47" fillId="0" borderId="12" xfId="0" applyFont="1" applyBorder="1"/>
    <xf numFmtId="10" fontId="47" fillId="0" borderId="12" xfId="0" applyNumberFormat="1" applyFont="1" applyBorder="1" applyAlignment="1">
      <alignment horizontal="center"/>
    </xf>
    <xf numFmtId="0" fontId="47" fillId="15" borderId="0" xfId="0" applyFont="1" applyFill="1" applyAlignment="1">
      <alignment horizontal="center"/>
    </xf>
    <xf numFmtId="0" fontId="19" fillId="15" borderId="0" xfId="0" applyFont="1" applyFill="1"/>
    <xf numFmtId="0" fontId="75" fillId="0" borderId="0" xfId="0" applyFont="1"/>
    <xf numFmtId="10" fontId="19" fillId="0" borderId="6" xfId="0" applyNumberFormat="1" applyFont="1" applyBorder="1" applyAlignment="1">
      <alignment horizontal="center"/>
    </xf>
    <xf numFmtId="10" fontId="47" fillId="0" borderId="7" xfId="0" applyNumberFormat="1" applyFont="1" applyBorder="1" applyAlignment="1">
      <alignment horizontal="center"/>
    </xf>
    <xf numFmtId="10" fontId="47" fillId="0" borderId="13" xfId="0" applyNumberFormat="1" applyFont="1" applyBorder="1" applyAlignment="1">
      <alignment horizontal="center"/>
    </xf>
    <xf numFmtId="0" fontId="61" fillId="4" borderId="1" xfId="0" applyFont="1" applyFill="1" applyBorder="1"/>
    <xf numFmtId="0" fontId="76" fillId="0" borderId="0" xfId="0" applyFont="1"/>
    <xf numFmtId="0" fontId="19" fillId="0" borderId="0" xfId="0" applyFont="1" applyAlignment="1">
      <alignment vertical="top" wrapText="1"/>
    </xf>
    <xf numFmtId="0" fontId="19" fillId="0" borderId="6" xfId="0" applyFont="1" applyBorder="1" applyAlignment="1">
      <alignment vertical="top" wrapText="1"/>
    </xf>
    <xf numFmtId="0" fontId="60" fillId="3" borderId="14" xfId="0" applyFont="1" applyFill="1" applyBorder="1" applyAlignment="1">
      <alignment horizontal="center" vertical="center"/>
    </xf>
    <xf numFmtId="0" fontId="60" fillId="3" borderId="15" xfId="0" applyFont="1" applyFill="1" applyBorder="1" applyAlignment="1">
      <alignment horizontal="center" vertical="center"/>
    </xf>
    <xf numFmtId="0" fontId="60" fillId="24" borderId="15" xfId="0" applyFont="1" applyFill="1" applyBorder="1" applyAlignment="1">
      <alignment horizontal="center" vertical="center"/>
    </xf>
    <xf numFmtId="0" fontId="60" fillId="24" borderId="16" xfId="0" applyFont="1" applyFill="1" applyBorder="1" applyAlignment="1">
      <alignment horizontal="center" vertical="center"/>
    </xf>
    <xf numFmtId="0" fontId="23" fillId="0" borderId="17"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43" fillId="21" borderId="0" xfId="0" applyFont="1" applyFill="1"/>
    <xf numFmtId="0" fontId="43" fillId="21" borderId="20" xfId="0" applyFont="1" applyFill="1" applyBorder="1" applyAlignment="1">
      <alignment vertical="center" wrapText="1"/>
    </xf>
    <xf numFmtId="0" fontId="43" fillId="21" borderId="21" xfId="0" applyFont="1" applyFill="1" applyBorder="1" applyAlignment="1">
      <alignment vertical="center" wrapText="1"/>
    </xf>
    <xf numFmtId="0" fontId="43" fillId="21" borderId="21" xfId="0" applyFont="1" applyFill="1" applyBorder="1" applyAlignment="1">
      <alignment horizontal="center" vertical="center"/>
    </xf>
    <xf numFmtId="0" fontId="43" fillId="21" borderId="22" xfId="0" applyFont="1" applyFill="1" applyBorder="1" applyAlignment="1">
      <alignment horizontal="center" vertical="center"/>
    </xf>
    <xf numFmtId="0" fontId="19" fillId="0" borderId="23" xfId="0" applyFont="1" applyBorder="1" applyAlignment="1">
      <alignment vertical="center" wrapText="1"/>
    </xf>
    <xf numFmtId="0" fontId="77" fillId="0" borderId="24" xfId="0" applyFont="1" applyBorder="1" applyAlignment="1">
      <alignment vertical="center" wrapText="1"/>
    </xf>
    <xf numFmtId="2" fontId="38" fillId="0" borderId="24" xfId="0" applyNumberFormat="1" applyFont="1" applyBorder="1" applyAlignment="1">
      <alignment horizontal="center" vertical="center"/>
    </xf>
    <xf numFmtId="2" fontId="20" fillId="0" borderId="24" xfId="0" applyNumberFormat="1" applyFont="1" applyBorder="1" applyAlignment="1">
      <alignment horizontal="center" vertical="center"/>
    </xf>
    <xf numFmtId="2" fontId="20" fillId="0" borderId="25" xfId="0" applyNumberFormat="1" applyFont="1" applyBorder="1" applyAlignment="1">
      <alignment horizontal="center" vertical="center"/>
    </xf>
    <xf numFmtId="0" fontId="19" fillId="0" borderId="26" xfId="0" applyFont="1" applyBorder="1" applyAlignment="1">
      <alignment vertical="center" wrapText="1"/>
    </xf>
    <xf numFmtId="0" fontId="77" fillId="0" borderId="27" xfId="0" applyFont="1" applyBorder="1" applyAlignment="1">
      <alignment vertical="center" wrapText="1"/>
    </xf>
    <xf numFmtId="164" fontId="20" fillId="0" borderId="27" xfId="0" applyNumberFormat="1" applyFont="1" applyBorder="1" applyAlignment="1">
      <alignment horizontal="center" vertical="center"/>
    </xf>
    <xf numFmtId="164" fontId="20" fillId="0" borderId="28" xfId="0" applyNumberFormat="1" applyFont="1" applyBorder="1" applyAlignment="1">
      <alignment horizontal="center" vertical="center"/>
    </xf>
    <xf numFmtId="0" fontId="47" fillId="14" borderId="26" xfId="0" applyFont="1" applyFill="1" applyBorder="1" applyAlignment="1">
      <alignment vertical="center" wrapText="1"/>
    </xf>
    <xf numFmtId="0" fontId="77" fillId="14" borderId="27" xfId="0" applyFont="1" applyFill="1" applyBorder="1" applyAlignment="1">
      <alignment vertical="center" wrapText="1"/>
    </xf>
    <xf numFmtId="3" fontId="37" fillId="14" borderId="27" xfId="0" applyNumberFormat="1" applyFont="1" applyFill="1" applyBorder="1" applyAlignment="1">
      <alignment horizontal="center" vertical="center"/>
    </xf>
    <xf numFmtId="3" fontId="37" fillId="14" borderId="28" xfId="0" applyNumberFormat="1" applyFont="1" applyFill="1" applyBorder="1" applyAlignment="1">
      <alignment horizontal="center" vertical="center"/>
    </xf>
    <xf numFmtId="165" fontId="37" fillId="0" borderId="27" xfId="0" applyNumberFormat="1" applyFont="1" applyBorder="1" applyAlignment="1">
      <alignment horizontal="center" vertical="center"/>
    </xf>
    <xf numFmtId="165" fontId="37" fillId="0" borderId="28" xfId="0" applyNumberFormat="1" applyFont="1" applyBorder="1" applyAlignment="1">
      <alignment horizontal="center" vertical="center"/>
    </xf>
    <xf numFmtId="4" fontId="37" fillId="14" borderId="27" xfId="0" applyNumberFormat="1" applyFont="1" applyFill="1" applyBorder="1" applyAlignment="1">
      <alignment horizontal="center" vertical="center"/>
    </xf>
    <xf numFmtId="4" fontId="37" fillId="14" borderId="28" xfId="0" applyNumberFormat="1" applyFont="1" applyFill="1" applyBorder="1" applyAlignment="1">
      <alignment horizontal="center" vertical="center"/>
    </xf>
    <xf numFmtId="0" fontId="23" fillId="0" borderId="29" xfId="0" applyFont="1" applyBorder="1" applyAlignment="1">
      <alignment vertical="center" wrapText="1"/>
    </xf>
    <xf numFmtId="0" fontId="23" fillId="0" borderId="30" xfId="0" applyFont="1" applyBorder="1" applyAlignment="1">
      <alignment vertical="center" wrapText="1"/>
    </xf>
    <xf numFmtId="0" fontId="23" fillId="0" borderId="30" xfId="0" applyFont="1" applyBorder="1" applyAlignment="1">
      <alignment horizontal="center" vertical="center"/>
    </xf>
    <xf numFmtId="0" fontId="23" fillId="0" borderId="31" xfId="0" applyFont="1" applyBorder="1" applyAlignment="1">
      <alignment horizontal="center" vertical="center"/>
    </xf>
    <xf numFmtId="0" fontId="78" fillId="0" borderId="24" xfId="0" applyFont="1" applyBorder="1" applyAlignment="1">
      <alignment vertical="center" wrapText="1"/>
    </xf>
    <xf numFmtId="4" fontId="20" fillId="14" borderId="27" xfId="0" applyNumberFormat="1" applyFont="1" applyFill="1" applyBorder="1" applyAlignment="1">
      <alignment horizontal="center" vertical="center"/>
    </xf>
    <xf numFmtId="4" fontId="20" fillId="14" borderId="28" xfId="0" applyNumberFormat="1" applyFont="1" applyFill="1" applyBorder="1" applyAlignment="1">
      <alignment horizontal="center" vertical="center"/>
    </xf>
    <xf numFmtId="0" fontId="78" fillId="14" borderId="27" xfId="0" applyFont="1" applyFill="1" applyBorder="1" applyAlignment="1">
      <alignment vertical="center" wrapText="1"/>
    </xf>
    <xf numFmtId="0" fontId="78" fillId="0" borderId="27" xfId="0" applyFont="1" applyBorder="1" applyAlignment="1">
      <alignment vertical="center" wrapText="1"/>
    </xf>
    <xf numFmtId="0" fontId="47" fillId="14" borderId="29" xfId="0" applyFont="1" applyFill="1" applyBorder="1" applyAlignment="1">
      <alignment vertical="center" wrapText="1"/>
    </xf>
    <xf numFmtId="0" fontId="78" fillId="14" borderId="30" xfId="0" applyFont="1" applyFill="1" applyBorder="1" applyAlignment="1">
      <alignment vertical="center" wrapText="1"/>
    </xf>
    <xf numFmtId="164" fontId="20" fillId="14" borderId="30" xfId="0" applyNumberFormat="1" applyFont="1" applyFill="1" applyBorder="1" applyAlignment="1">
      <alignment horizontal="center" vertical="center"/>
    </xf>
    <xf numFmtId="164" fontId="20" fillId="14" borderId="31" xfId="0" applyNumberFormat="1" applyFont="1" applyFill="1" applyBorder="1" applyAlignment="1">
      <alignment horizontal="center" vertical="center"/>
    </xf>
    <xf numFmtId="0" fontId="43" fillId="21" borderId="29" xfId="0" applyFont="1" applyFill="1" applyBorder="1" applyAlignment="1">
      <alignment vertical="center" wrapText="1"/>
    </xf>
    <xf numFmtId="0" fontId="43" fillId="21" borderId="60" xfId="0" applyFont="1" applyFill="1" applyBorder="1"/>
    <xf numFmtId="0" fontId="43" fillId="21" borderId="63" xfId="0" applyFont="1" applyFill="1" applyBorder="1"/>
    <xf numFmtId="0" fontId="48" fillId="14" borderId="64" xfId="0" applyFont="1" applyFill="1" applyBorder="1" applyAlignment="1">
      <alignment vertical="center" wrapText="1"/>
    </xf>
    <xf numFmtId="0" fontId="71" fillId="14" borderId="62" xfId="0" applyFont="1" applyFill="1" applyBorder="1" applyAlignment="1">
      <alignment vertical="center" wrapText="1"/>
    </xf>
    <xf numFmtId="164" fontId="20" fillId="23" borderId="62" xfId="0" applyNumberFormat="1" applyFont="1" applyFill="1" applyBorder="1" applyAlignment="1">
      <alignment horizontal="center"/>
    </xf>
    <xf numFmtId="0" fontId="23" fillId="0" borderId="62" xfId="0" applyFont="1" applyBorder="1"/>
    <xf numFmtId="0" fontId="23" fillId="0" borderId="66" xfId="0" applyFont="1" applyBorder="1"/>
    <xf numFmtId="0" fontId="48" fillId="14" borderId="46" xfId="0" applyFont="1" applyFill="1" applyBorder="1" applyAlignment="1">
      <alignment vertical="center" wrapText="1"/>
    </xf>
    <xf numFmtId="0" fontId="23" fillId="0" borderId="65" xfId="0" applyFont="1" applyBorder="1"/>
    <xf numFmtId="164" fontId="20" fillId="23" borderId="65" xfId="0" applyNumberFormat="1" applyFont="1" applyFill="1" applyBorder="1" applyAlignment="1">
      <alignment horizontal="center"/>
    </xf>
    <xf numFmtId="0" fontId="23" fillId="0" borderId="31" xfId="0" applyFont="1" applyBorder="1"/>
    <xf numFmtId="0" fontId="20" fillId="0" borderId="46" xfId="0" applyFont="1" applyBorder="1"/>
    <xf numFmtId="0" fontId="48" fillId="0" borderId="46" xfId="0" applyFont="1" applyBorder="1"/>
    <xf numFmtId="164" fontId="48" fillId="23" borderId="65" xfId="0" applyNumberFormat="1" applyFont="1" applyFill="1" applyBorder="1" applyAlignment="1">
      <alignment horizontal="center"/>
    </xf>
    <xf numFmtId="0" fontId="21" fillId="0" borderId="46" xfId="0" applyFont="1" applyBorder="1"/>
    <xf numFmtId="164" fontId="21" fillId="23" borderId="68" xfId="0" applyNumberFormat="1" applyFont="1" applyFill="1" applyBorder="1" applyAlignment="1">
      <alignment horizontal="center"/>
    </xf>
    <xf numFmtId="0" fontId="23" fillId="0" borderId="60" xfId="0" applyFont="1" applyBorder="1"/>
    <xf numFmtId="164" fontId="48" fillId="23" borderId="70" xfId="0" applyNumberFormat="1" applyFont="1" applyFill="1" applyBorder="1" applyAlignment="1">
      <alignment horizontal="center"/>
    </xf>
    <xf numFmtId="0" fontId="59" fillId="0" borderId="47" xfId="0" applyFont="1" applyBorder="1"/>
    <xf numFmtId="0" fontId="23" fillId="0" borderId="67" xfId="0" applyFont="1" applyBorder="1"/>
    <xf numFmtId="164" fontId="59" fillId="23" borderId="69" xfId="0" applyNumberFormat="1" applyFont="1" applyFill="1" applyBorder="1" applyAlignment="1">
      <alignment horizontal="center"/>
    </xf>
    <xf numFmtId="0" fontId="23" fillId="0" borderId="22" xfId="0" applyFont="1" applyBorder="1"/>
    <xf numFmtId="0" fontId="79" fillId="21" borderId="0" xfId="0" applyFont="1" applyFill="1"/>
    <xf numFmtId="164" fontId="79" fillId="21" borderId="0" xfId="0" applyNumberFormat="1" applyFont="1" applyFill="1" applyAlignment="1">
      <alignment horizontal="center"/>
    </xf>
    <xf numFmtId="0" fontId="43" fillId="21" borderId="0" xfId="0" applyFont="1" applyFill="1" applyAlignment="1">
      <alignment horizontal="center"/>
    </xf>
    <xf numFmtId="0" fontId="80" fillId="0" borderId="0" xfId="0" applyFont="1"/>
    <xf numFmtId="164" fontId="80" fillId="23" borderId="0" xfId="0" applyNumberFormat="1" applyFont="1" applyFill="1" applyAlignment="1">
      <alignment horizontal="center"/>
    </xf>
    <xf numFmtId="164" fontId="25" fillId="0" borderId="0" xfId="0" applyNumberFormat="1" applyFont="1" applyAlignment="1">
      <alignment horizontal="center"/>
    </xf>
    <xf numFmtId="183" fontId="80" fillId="23" borderId="0" xfId="0" applyNumberFormat="1" applyFont="1" applyFill="1" applyAlignment="1">
      <alignment horizontal="center"/>
    </xf>
    <xf numFmtId="183" fontId="25" fillId="0" borderId="0" xfId="0" applyNumberFormat="1" applyFont="1" applyAlignment="1">
      <alignment horizontal="center"/>
    </xf>
    <xf numFmtId="10" fontId="80" fillId="23" borderId="0" xfId="0" applyNumberFormat="1" applyFont="1" applyFill="1" applyAlignment="1">
      <alignment horizontal="center"/>
    </xf>
    <xf numFmtId="10" fontId="25" fillId="0" borderId="0" xfId="0" applyNumberFormat="1" applyFont="1" applyAlignment="1">
      <alignment horizontal="center"/>
    </xf>
    <xf numFmtId="0" fontId="81" fillId="0" borderId="0" xfId="0" applyFont="1"/>
    <xf numFmtId="183" fontId="81" fillId="23" borderId="0" xfId="0" applyNumberFormat="1" applyFont="1" applyFill="1" applyAlignment="1">
      <alignment horizontal="center"/>
    </xf>
    <xf numFmtId="183" fontId="37" fillId="0" borderId="0" xfId="0" applyNumberFormat="1" applyFont="1" applyAlignment="1">
      <alignment horizontal="center"/>
    </xf>
    <xf numFmtId="0" fontId="61" fillId="23" borderId="0" xfId="0" applyFont="1" applyFill="1"/>
    <xf numFmtId="170" fontId="61" fillId="23" borderId="0" xfId="0" applyNumberFormat="1" applyFont="1" applyFill="1" applyAlignment="1">
      <alignment horizontal="center"/>
    </xf>
    <xf numFmtId="170" fontId="21" fillId="23" borderId="0" xfId="0" applyNumberFormat="1" applyFont="1" applyFill="1" applyAlignment="1">
      <alignment horizontal="center"/>
    </xf>
    <xf numFmtId="0" fontId="59" fillId="23" borderId="0" xfId="0" applyFont="1" applyFill="1"/>
    <xf numFmtId="164" fontId="59" fillId="23" borderId="0" xfId="0" applyNumberFormat="1" applyFont="1" applyFill="1" applyAlignment="1">
      <alignment horizontal="center"/>
    </xf>
    <xf numFmtId="164" fontId="63" fillId="23" borderId="0" xfId="0" applyNumberFormat="1" applyFont="1" applyFill="1" applyAlignment="1">
      <alignment horizontal="center"/>
    </xf>
    <xf numFmtId="0" fontId="23" fillId="0" borderId="61" xfId="0" applyFont="1" applyBorder="1"/>
    <xf numFmtId="0" fontId="47" fillId="0" borderId="23" xfId="0" applyFont="1" applyBorder="1" applyAlignment="1">
      <alignment vertical="center" wrapText="1"/>
    </xf>
    <xf numFmtId="0" fontId="47" fillId="0" borderId="26" xfId="0" applyFont="1" applyBorder="1" applyAlignment="1">
      <alignment vertical="center" wrapText="1"/>
    </xf>
    <xf numFmtId="1" fontId="37" fillId="0" borderId="27" xfId="0" applyNumberFormat="1" applyFont="1" applyBorder="1" applyAlignment="1">
      <alignment horizontal="center" vertical="center"/>
    </xf>
    <xf numFmtId="1" fontId="37" fillId="0" borderId="28" xfId="0" applyNumberFormat="1" applyFont="1" applyBorder="1" applyAlignment="1">
      <alignment horizontal="center" vertical="center"/>
    </xf>
    <xf numFmtId="1" fontId="20" fillId="14" borderId="27" xfId="0" applyNumberFormat="1" applyFont="1" applyFill="1" applyBorder="1" applyAlignment="1">
      <alignment horizontal="center" vertical="center"/>
    </xf>
    <xf numFmtId="1" fontId="20" fillId="14" borderId="28" xfId="0" applyNumberFormat="1" applyFont="1" applyFill="1" applyBorder="1" applyAlignment="1">
      <alignment horizontal="center" vertical="center"/>
    </xf>
    <xf numFmtId="175" fontId="38" fillId="0" borderId="27" xfId="0" applyNumberFormat="1" applyFont="1" applyBorder="1" applyAlignment="1">
      <alignment horizontal="center" vertical="center"/>
    </xf>
    <xf numFmtId="175" fontId="38" fillId="0" borderId="28" xfId="0" applyNumberFormat="1" applyFont="1" applyBorder="1" applyAlignment="1">
      <alignment horizontal="center" vertical="center"/>
    </xf>
    <xf numFmtId="0" fontId="23" fillId="0" borderId="26" xfId="0" applyFont="1" applyBorder="1" applyAlignment="1">
      <alignment vertical="center" wrapText="1"/>
    </xf>
    <xf numFmtId="0" fontId="23" fillId="0" borderId="27" xfId="0" applyFont="1" applyBorder="1" applyAlignment="1">
      <alignment vertical="center" wrapText="1"/>
    </xf>
    <xf numFmtId="0" fontId="23" fillId="0" borderId="27" xfId="0" applyFont="1" applyBorder="1" applyAlignment="1">
      <alignment horizontal="center" vertical="center"/>
    </xf>
    <xf numFmtId="0" fontId="23" fillId="0" borderId="28" xfId="0" applyFont="1" applyBorder="1" applyAlignment="1">
      <alignment horizontal="center" vertical="center"/>
    </xf>
    <xf numFmtId="164" fontId="38" fillId="0" borderId="27" xfId="0" applyNumberFormat="1" applyFont="1" applyBorder="1" applyAlignment="1">
      <alignment horizontal="center" vertical="center"/>
    </xf>
    <xf numFmtId="164" fontId="38" fillId="0" borderId="28" xfId="0" applyNumberFormat="1" applyFont="1" applyBorder="1" applyAlignment="1">
      <alignment horizontal="center" vertical="center"/>
    </xf>
    <xf numFmtId="4" fontId="38" fillId="0" borderId="27" xfId="0" applyNumberFormat="1" applyFont="1" applyBorder="1" applyAlignment="1">
      <alignment horizontal="center" vertical="center"/>
    </xf>
    <xf numFmtId="4" fontId="20" fillId="0" borderId="27" xfId="0" applyNumberFormat="1" applyFont="1" applyBorder="1" applyAlignment="1">
      <alignment horizontal="center" vertical="center"/>
    </xf>
    <xf numFmtId="4" fontId="20" fillId="0" borderId="28" xfId="0" applyNumberFormat="1" applyFont="1" applyBorder="1" applyAlignment="1">
      <alignment horizontal="center" vertical="center"/>
    </xf>
    <xf numFmtId="4" fontId="37" fillId="0" borderId="24" xfId="0" applyNumberFormat="1" applyFont="1" applyBorder="1" applyAlignment="1">
      <alignment horizontal="center" vertical="center"/>
    </xf>
    <xf numFmtId="4" fontId="37" fillId="0" borderId="25" xfId="0" applyNumberFormat="1" applyFont="1" applyBorder="1" applyAlignment="1">
      <alignment horizontal="center" vertical="center"/>
    </xf>
    <xf numFmtId="4" fontId="37" fillId="0" borderId="27" xfId="0" applyNumberFormat="1" applyFont="1" applyBorder="1" applyAlignment="1">
      <alignment horizontal="center" vertical="center"/>
    </xf>
    <xf numFmtId="4" fontId="37" fillId="0" borderId="28" xfId="0" applyNumberFormat="1" applyFont="1" applyBorder="1" applyAlignment="1">
      <alignment horizontal="center" vertical="center"/>
    </xf>
    <xf numFmtId="0" fontId="71" fillId="14" borderId="27" xfId="0" applyFont="1" applyFill="1" applyBorder="1" applyAlignment="1">
      <alignment vertical="center" wrapText="1"/>
    </xf>
    <xf numFmtId="0" fontId="47" fillId="0" borderId="20" xfId="0" applyFont="1" applyBorder="1" applyAlignment="1">
      <alignment vertical="center" wrapText="1"/>
    </xf>
    <xf numFmtId="0" fontId="78" fillId="0" borderId="21" xfId="0" applyFont="1" applyBorder="1" applyAlignment="1">
      <alignment vertical="center" wrapText="1"/>
    </xf>
    <xf numFmtId="10" fontId="38" fillId="0" borderId="21" xfId="0" applyNumberFormat="1" applyFont="1" applyBorder="1" applyAlignment="1">
      <alignment horizontal="center" vertical="center"/>
    </xf>
    <xf numFmtId="0" fontId="78" fillId="14" borderId="0" xfId="0" applyFont="1" applyFill="1"/>
    <xf numFmtId="0" fontId="82" fillId="4" borderId="0" xfId="0" applyFont="1" applyFill="1"/>
    <xf numFmtId="3" fontId="37" fillId="0" borderId="0" xfId="0" applyNumberFormat="1" applyFont="1"/>
    <xf numFmtId="0" fontId="77" fillId="0" borderId="0" xfId="0" applyFont="1"/>
    <xf numFmtId="3" fontId="20" fillId="0" borderId="0" xfId="0" applyNumberFormat="1" applyFont="1"/>
    <xf numFmtId="164" fontId="37" fillId="0" borderId="0" xfId="0" applyNumberFormat="1" applyFont="1"/>
    <xf numFmtId="3" fontId="24" fillId="0" borderId="0" xfId="0" applyNumberFormat="1" applyFont="1"/>
    <xf numFmtId="4" fontId="24" fillId="0" borderId="0" xfId="0" applyNumberFormat="1" applyFont="1"/>
    <xf numFmtId="10" fontId="37" fillId="0" borderId="0" xfId="0" applyNumberFormat="1" applyFont="1"/>
    <xf numFmtId="4" fontId="24" fillId="17" borderId="0" xfId="0" applyNumberFormat="1" applyFont="1" applyFill="1"/>
    <xf numFmtId="4" fontId="20" fillId="0" borderId="0" xfId="0" applyNumberFormat="1" applyFont="1"/>
    <xf numFmtId="4" fontId="37" fillId="0" borderId="0" xfId="0" applyNumberFormat="1" applyFont="1"/>
    <xf numFmtId="4" fontId="38" fillId="0" borderId="0" xfId="0" applyNumberFormat="1" applyFont="1"/>
    <xf numFmtId="0" fontId="28" fillId="0" borderId="0" xfId="0" applyFont="1" applyAlignment="1">
      <alignment vertical="center"/>
    </xf>
    <xf numFmtId="0" fontId="21" fillId="4" borderId="1" xfId="0" applyFont="1" applyFill="1" applyBorder="1" applyAlignment="1">
      <alignment vertical="center" wrapText="1"/>
    </xf>
    <xf numFmtId="0" fontId="23" fillId="0" borderId="0" xfId="0" applyFont="1" applyAlignment="1">
      <alignment vertical="center" wrapText="1"/>
    </xf>
    <xf numFmtId="0" fontId="21" fillId="4" borderId="0" xfId="0" applyFont="1" applyFill="1" applyAlignment="1">
      <alignment horizontal="left" vertical="center" wrapText="1"/>
    </xf>
    <xf numFmtId="0" fontId="23" fillId="4" borderId="0" xfId="0" applyFont="1" applyFill="1" applyAlignment="1">
      <alignment horizontal="center" vertical="center"/>
    </xf>
    <xf numFmtId="0" fontId="23" fillId="0" borderId="0" xfId="0" applyFont="1" applyAlignment="1">
      <alignment horizontal="center" vertical="center"/>
    </xf>
    <xf numFmtId="10" fontId="38" fillId="0" borderId="0" xfId="0" applyNumberFormat="1" applyFont="1" applyAlignment="1">
      <alignment horizontal="center" vertical="center"/>
    </xf>
    <xf numFmtId="10" fontId="83" fillId="0" borderId="0" xfId="0" applyNumberFormat="1" applyFont="1" applyAlignment="1">
      <alignment horizontal="center" vertical="center"/>
    </xf>
    <xf numFmtId="4" fontId="37" fillId="0" borderId="0" xfId="0" applyNumberFormat="1" applyFont="1" applyAlignment="1">
      <alignment horizontal="center" vertical="center"/>
    </xf>
    <xf numFmtId="0" fontId="47" fillId="0" borderId="0" xfId="0" applyFont="1" applyAlignment="1">
      <alignment horizontal="left" vertical="center" wrapText="1"/>
    </xf>
    <xf numFmtId="4" fontId="47" fillId="0" borderId="0" xfId="0" applyNumberFormat="1" applyFont="1" applyAlignment="1">
      <alignment horizontal="center" vertical="center"/>
    </xf>
    <xf numFmtId="0" fontId="23" fillId="0" borderId="0" xfId="0" applyFont="1" applyAlignment="1">
      <alignment horizontal="left" vertical="center" wrapText="1"/>
    </xf>
    <xf numFmtId="176" fontId="19" fillId="0" borderId="0" xfId="0" applyNumberFormat="1" applyFont="1" applyAlignment="1">
      <alignment horizontal="center" vertical="center"/>
    </xf>
    <xf numFmtId="10" fontId="47" fillId="0" borderId="0" xfId="0" applyNumberFormat="1" applyFont="1" applyAlignment="1">
      <alignment horizontal="center" vertical="center"/>
    </xf>
    <xf numFmtId="10" fontId="19" fillId="0" borderId="0" xfId="0" applyNumberFormat="1" applyFont="1" applyAlignment="1">
      <alignment horizontal="center" vertical="center"/>
    </xf>
    <xf numFmtId="164" fontId="19" fillId="0" borderId="0" xfId="0" applyNumberFormat="1" applyFont="1" applyAlignment="1">
      <alignment horizontal="center" vertical="center"/>
    </xf>
    <xf numFmtId="0" fontId="21" fillId="4" borderId="1" xfId="0" applyFont="1" applyFill="1" applyBorder="1" applyAlignment="1">
      <alignment horizontal="left" vertical="center" wrapText="1"/>
    </xf>
    <xf numFmtId="10" fontId="21" fillId="4" borderId="1" xfId="0" applyNumberFormat="1" applyFont="1" applyFill="1" applyBorder="1" applyAlignment="1">
      <alignment horizontal="center" vertical="center"/>
    </xf>
    <xf numFmtId="0" fontId="60" fillId="13" borderId="0" xfId="0" applyFont="1" applyFill="1" applyAlignment="1">
      <alignment horizontal="left" vertical="center" wrapText="1"/>
    </xf>
    <xf numFmtId="0" fontId="23" fillId="13" borderId="0" xfId="0" applyFont="1" applyFill="1" applyAlignment="1">
      <alignment horizontal="center" vertical="center"/>
    </xf>
    <xf numFmtId="0" fontId="44" fillId="13" borderId="35" xfId="0" applyFont="1" applyFill="1" applyBorder="1" applyAlignment="1">
      <alignment horizontal="left" vertical="center" wrapText="1"/>
    </xf>
    <xf numFmtId="0" fontId="30" fillId="13" borderId="35" xfId="0" applyFont="1" applyFill="1" applyBorder="1" applyAlignment="1">
      <alignment horizontal="center" vertical="center"/>
    </xf>
    <xf numFmtId="0" fontId="19" fillId="0" borderId="36" xfId="0" applyFont="1" applyBorder="1" applyAlignment="1">
      <alignment horizontal="left" vertical="center" wrapText="1"/>
    </xf>
    <xf numFmtId="4" fontId="37" fillId="0" borderId="36" xfId="0" applyNumberFormat="1" applyFont="1" applyBorder="1" applyAlignment="1">
      <alignment horizontal="center" vertical="center"/>
    </xf>
    <xf numFmtId="0" fontId="19" fillId="0" borderId="37" xfId="0" applyFont="1" applyBorder="1" applyAlignment="1">
      <alignment horizontal="left" vertical="center" wrapText="1"/>
    </xf>
    <xf numFmtId="0" fontId="23" fillId="0" borderId="37" xfId="0" applyFont="1" applyBorder="1" applyAlignment="1">
      <alignment horizontal="center" vertical="center"/>
    </xf>
    <xf numFmtId="4" fontId="19" fillId="0" borderId="37" xfId="0" applyNumberFormat="1" applyFont="1" applyBorder="1" applyAlignment="1">
      <alignment horizontal="center" vertical="center"/>
    </xf>
    <xf numFmtId="4" fontId="37" fillId="0" borderId="37" xfId="0" applyNumberFormat="1" applyFont="1" applyBorder="1" applyAlignment="1">
      <alignment horizontal="center" vertical="center"/>
    </xf>
    <xf numFmtId="0" fontId="47" fillId="0" borderId="38" xfId="0" applyFont="1" applyBorder="1" applyAlignment="1">
      <alignment horizontal="left" vertical="center" wrapText="1"/>
    </xf>
    <xf numFmtId="0" fontId="23" fillId="0" borderId="38" xfId="0" applyFont="1" applyBorder="1" applyAlignment="1">
      <alignment horizontal="center" vertical="center"/>
    </xf>
    <xf numFmtId="4" fontId="47" fillId="0" borderId="38" xfId="0" applyNumberFormat="1" applyFont="1" applyBorder="1" applyAlignment="1">
      <alignment horizontal="center" vertical="center"/>
    </xf>
    <xf numFmtId="0" fontId="23" fillId="0" borderId="35" xfId="0" applyFont="1" applyBorder="1" applyAlignment="1">
      <alignment horizontal="left" vertical="center" wrapText="1"/>
    </xf>
    <xf numFmtId="0" fontId="23" fillId="0" borderId="35" xfId="0" applyFont="1" applyBorder="1" applyAlignment="1">
      <alignment horizontal="center" vertical="center"/>
    </xf>
    <xf numFmtId="0" fontId="47" fillId="0" borderId="35" xfId="0" applyFont="1" applyBorder="1" applyAlignment="1">
      <alignment horizontal="center" vertical="center"/>
    </xf>
    <xf numFmtId="0" fontId="23" fillId="0" borderId="36" xfId="0" applyFont="1" applyBorder="1" applyAlignment="1">
      <alignment horizontal="center" vertical="center"/>
    </xf>
    <xf numFmtId="0" fontId="23" fillId="0" borderId="36" xfId="0" applyFont="1" applyBorder="1" applyAlignment="1">
      <alignment horizontal="left" vertical="center" wrapText="1"/>
    </xf>
    <xf numFmtId="0" fontId="61" fillId="4" borderId="39" xfId="0" applyFont="1" applyFill="1" applyBorder="1" applyAlignment="1">
      <alignment horizontal="left" vertical="center" wrapText="1"/>
    </xf>
    <xf numFmtId="4" fontId="21" fillId="4" borderId="39" xfId="0" applyNumberFormat="1" applyFont="1" applyFill="1" applyBorder="1" applyAlignment="1">
      <alignment horizontal="center" vertical="center"/>
    </xf>
    <xf numFmtId="4" fontId="19" fillId="0" borderId="36" xfId="0" applyNumberFormat="1" applyFont="1" applyBorder="1" applyAlignment="1">
      <alignment horizontal="center" vertical="center"/>
    </xf>
    <xf numFmtId="0" fontId="23" fillId="0" borderId="37" xfId="0" applyFont="1" applyBorder="1" applyAlignment="1">
      <alignment horizontal="left" vertical="center" wrapText="1"/>
    </xf>
    <xf numFmtId="0" fontId="21" fillId="0" borderId="38" xfId="0" applyFont="1" applyBorder="1" applyAlignment="1">
      <alignment horizontal="left" vertical="center" wrapText="1"/>
    </xf>
    <xf numFmtId="0" fontId="62" fillId="0" borderId="36" xfId="0" applyFont="1" applyBorder="1" applyAlignment="1">
      <alignment horizontal="left" vertical="center" wrapText="1"/>
    </xf>
    <xf numFmtId="0" fontId="40" fillId="0" borderId="36" xfId="0" applyFont="1" applyBorder="1" applyAlignment="1">
      <alignment horizontal="center" vertical="center"/>
    </xf>
    <xf numFmtId="0" fontId="24" fillId="0" borderId="36" xfId="0" applyFont="1" applyBorder="1" applyAlignment="1">
      <alignment horizontal="center" vertical="center"/>
    </xf>
    <xf numFmtId="177" fontId="19" fillId="0" borderId="37" xfId="0" applyNumberFormat="1" applyFont="1" applyBorder="1" applyAlignment="1">
      <alignment horizontal="center" vertical="center"/>
    </xf>
    <xf numFmtId="0" fontId="21" fillId="0" borderId="0" xfId="0" applyFont="1" applyAlignment="1">
      <alignment horizontal="left" vertical="center" wrapText="1"/>
    </xf>
    <xf numFmtId="4" fontId="24" fillId="14" borderId="0" xfId="0" applyNumberFormat="1" applyFont="1" applyFill="1" applyAlignment="1">
      <alignment horizontal="center" vertical="center"/>
    </xf>
    <xf numFmtId="4" fontId="21" fillId="4" borderId="1" xfId="0" applyNumberFormat="1" applyFont="1" applyFill="1" applyBorder="1" applyAlignment="1">
      <alignment horizontal="center" vertical="center"/>
    </xf>
    <xf numFmtId="4" fontId="24" fillId="0" borderId="0" xfId="0" applyNumberFormat="1" applyFont="1" applyAlignment="1">
      <alignment horizontal="center" vertical="center"/>
    </xf>
    <xf numFmtId="0" fontId="43" fillId="0" borderId="0" xfId="0" applyFont="1" applyAlignment="1">
      <alignment horizontal="left" vertical="center" wrapText="1"/>
    </xf>
    <xf numFmtId="4" fontId="43" fillId="9" borderId="33" xfId="0" applyNumberFormat="1" applyFont="1" applyFill="1" applyBorder="1" applyAlignment="1">
      <alignment horizontal="center" vertical="center"/>
    </xf>
    <xf numFmtId="0" fontId="61" fillId="4" borderId="1" xfId="0" applyFont="1" applyFill="1" applyBorder="1" applyAlignment="1">
      <alignment horizontal="left" vertical="center" wrapText="1"/>
    </xf>
    <xf numFmtId="164" fontId="21" fillId="4" borderId="1" xfId="0" applyNumberFormat="1" applyFont="1" applyFill="1" applyBorder="1" applyAlignment="1">
      <alignment horizontal="center" vertical="center"/>
    </xf>
    <xf numFmtId="167" fontId="43" fillId="9" borderId="33" xfId="0" applyNumberFormat="1" applyFont="1" applyFill="1" applyBorder="1" applyAlignment="1">
      <alignment horizontal="center" vertical="center"/>
    </xf>
    <xf numFmtId="0" fontId="84" fillId="4" borderId="40" xfId="0" applyFont="1" applyFill="1" applyBorder="1" applyAlignment="1">
      <alignment horizontal="left" vertical="center" wrapText="1"/>
    </xf>
    <xf numFmtId="164" fontId="47" fillId="4" borderId="41" xfId="0" applyNumberFormat="1" applyFont="1" applyFill="1" applyBorder="1" applyAlignment="1">
      <alignment horizontal="center" vertical="center"/>
    </xf>
    <xf numFmtId="164" fontId="21" fillId="4" borderId="41" xfId="0" applyNumberFormat="1" applyFont="1" applyFill="1" applyBorder="1" applyAlignment="1">
      <alignment horizontal="center" vertical="center"/>
    </xf>
    <xf numFmtId="164" fontId="48" fillId="4" borderId="41" xfId="0" applyNumberFormat="1" applyFont="1" applyFill="1" applyBorder="1" applyAlignment="1">
      <alignment horizontal="center" vertical="center"/>
    </xf>
    <xf numFmtId="164" fontId="47" fillId="4" borderId="42" xfId="0" applyNumberFormat="1" applyFont="1" applyFill="1" applyBorder="1" applyAlignment="1">
      <alignment horizontal="center" vertical="center"/>
    </xf>
    <xf numFmtId="164" fontId="47" fillId="4" borderId="26" xfId="0" applyNumberFormat="1" applyFont="1" applyFill="1" applyBorder="1" applyAlignment="1">
      <alignment horizontal="left" vertical="center" wrapText="1"/>
    </xf>
    <xf numFmtId="165" fontId="19" fillId="0" borderId="27" xfId="0" applyNumberFormat="1" applyFont="1" applyBorder="1" applyAlignment="1">
      <alignment horizontal="center" vertical="center"/>
    </xf>
    <xf numFmtId="164" fontId="21" fillId="4" borderId="26" xfId="0" applyNumberFormat="1" applyFont="1" applyFill="1" applyBorder="1" applyAlignment="1">
      <alignment horizontal="left" vertical="center" wrapText="1"/>
    </xf>
    <xf numFmtId="164" fontId="47" fillId="4" borderId="20" xfId="0" applyNumberFormat="1" applyFont="1" applyFill="1" applyBorder="1" applyAlignment="1">
      <alignment horizontal="left" vertical="center" wrapText="1"/>
    </xf>
    <xf numFmtId="0" fontId="60" fillId="13" borderId="4" xfId="0" applyFont="1" applyFill="1" applyBorder="1"/>
    <xf numFmtId="0" fontId="23" fillId="13" borderId="4" xfId="0" applyFont="1" applyFill="1" applyBorder="1"/>
    <xf numFmtId="4" fontId="48" fillId="0" borderId="33" xfId="0" applyNumberFormat="1" applyFont="1" applyBorder="1" applyAlignment="1">
      <alignment horizontal="center"/>
    </xf>
    <xf numFmtId="4" fontId="20" fillId="0" borderId="0" xfId="0" applyNumberFormat="1" applyFont="1" applyAlignment="1">
      <alignment horizontal="center"/>
    </xf>
    <xf numFmtId="164" fontId="28" fillId="0" borderId="0" xfId="0" applyNumberFormat="1" applyFont="1" applyAlignment="1">
      <alignment horizontal="center"/>
    </xf>
    <xf numFmtId="0" fontId="60" fillId="20" borderId="34" xfId="0" applyFont="1" applyFill="1" applyBorder="1" applyAlignment="1">
      <alignment horizontal="left"/>
    </xf>
    <xf numFmtId="0" fontId="23" fillId="20" borderId="34" xfId="0" applyFont="1" applyFill="1" applyBorder="1"/>
    <xf numFmtId="0" fontId="21" fillId="21" borderId="1" xfId="0" applyFont="1" applyFill="1" applyBorder="1" applyAlignment="1">
      <alignment horizontal="left"/>
    </xf>
    <xf numFmtId="0" fontId="23" fillId="21" borderId="1" xfId="0" applyFont="1" applyFill="1" applyBorder="1"/>
    <xf numFmtId="0" fontId="20" fillId="0" borderId="0" xfId="0" applyFont="1" applyAlignment="1">
      <alignment horizontal="left"/>
    </xf>
    <xf numFmtId="10" fontId="38" fillId="22" borderId="0" xfId="0" applyNumberFormat="1" applyFont="1" applyFill="1" applyAlignment="1">
      <alignment horizontal="center"/>
    </xf>
    <xf numFmtId="10" fontId="20" fillId="0" borderId="0" xfId="0" applyNumberFormat="1" applyFont="1" applyAlignment="1">
      <alignment horizontal="center"/>
    </xf>
    <xf numFmtId="0" fontId="21" fillId="21" borderId="0" xfId="0" applyFont="1" applyFill="1" applyAlignment="1">
      <alignment horizontal="left"/>
    </xf>
    <xf numFmtId="0" fontId="21" fillId="0" borderId="36" xfId="0" applyFont="1" applyBorder="1" applyAlignment="1">
      <alignment horizontal="left"/>
    </xf>
    <xf numFmtId="0" fontId="23" fillId="0" borderId="36" xfId="0" applyFont="1" applyBorder="1"/>
    <xf numFmtId="4" fontId="48" fillId="0" borderId="36" xfId="0" applyNumberFormat="1" applyFont="1" applyBorder="1" applyAlignment="1">
      <alignment horizontal="center"/>
    </xf>
    <xf numFmtId="0" fontId="62" fillId="0" borderId="37" xfId="0" applyFont="1" applyBorder="1" applyAlignment="1">
      <alignment horizontal="left"/>
    </xf>
    <xf numFmtId="0" fontId="23" fillId="0" borderId="37" xfId="0" applyFont="1" applyBorder="1"/>
    <xf numFmtId="0" fontId="40" fillId="0" borderId="37" xfId="0" applyFont="1" applyBorder="1" applyAlignment="1">
      <alignment horizontal="center"/>
    </xf>
    <xf numFmtId="0" fontId="48" fillId="0" borderId="37" xfId="0" applyFont="1" applyBorder="1" applyAlignment="1">
      <alignment horizontal="center"/>
    </xf>
    <xf numFmtId="0" fontId="20" fillId="0" borderId="37" xfId="0" applyFont="1" applyBorder="1" applyAlignment="1">
      <alignment horizontal="left"/>
    </xf>
    <xf numFmtId="177" fontId="20" fillId="0" borderId="37" xfId="0" applyNumberFormat="1" applyFont="1" applyBorder="1" applyAlignment="1">
      <alignment horizontal="center"/>
    </xf>
    <xf numFmtId="0" fontId="48" fillId="0" borderId="32" xfId="0" applyFont="1" applyBorder="1" applyAlignment="1">
      <alignment horizontal="left"/>
    </xf>
    <xf numFmtId="0" fontId="23" fillId="0" borderId="32" xfId="0" applyFont="1" applyBorder="1"/>
    <xf numFmtId="4" fontId="48" fillId="0" borderId="32" xfId="0" applyNumberFormat="1" applyFont="1" applyBorder="1" applyAlignment="1">
      <alignment horizontal="center"/>
    </xf>
    <xf numFmtId="0" fontId="21" fillId="0" borderId="37" xfId="0" applyFont="1" applyBorder="1" applyAlignment="1">
      <alignment horizontal="left"/>
    </xf>
    <xf numFmtId="4" fontId="48" fillId="23" borderId="37" xfId="0" applyNumberFormat="1" applyFont="1" applyFill="1" applyBorder="1" applyAlignment="1">
      <alignment horizontal="center"/>
    </xf>
    <xf numFmtId="0" fontId="61" fillId="21" borderId="1" xfId="0" applyFont="1" applyFill="1" applyBorder="1" applyAlignment="1">
      <alignment horizontal="left"/>
    </xf>
    <xf numFmtId="4" fontId="21" fillId="21" borderId="1" xfId="0" applyNumberFormat="1" applyFont="1" applyFill="1" applyBorder="1" applyAlignment="1">
      <alignment horizontal="center"/>
    </xf>
    <xf numFmtId="0" fontId="48" fillId="0" borderId="0" xfId="0" applyFont="1" applyAlignment="1">
      <alignment horizontal="left"/>
    </xf>
    <xf numFmtId="4" fontId="48" fillId="0" borderId="0" xfId="0" applyNumberFormat="1" applyFont="1" applyAlignment="1">
      <alignment horizontal="center"/>
    </xf>
    <xf numFmtId="0" fontId="43" fillId="0" borderId="0" xfId="0" applyFont="1" applyAlignment="1">
      <alignment horizontal="left"/>
    </xf>
    <xf numFmtId="4" fontId="43" fillId="22" borderId="33" xfId="0" applyNumberFormat="1" applyFont="1" applyFill="1" applyBorder="1" applyAlignment="1">
      <alignment horizontal="center"/>
    </xf>
    <xf numFmtId="164" fontId="21" fillId="21" borderId="1" xfId="0" applyNumberFormat="1" applyFont="1" applyFill="1" applyBorder="1" applyAlignment="1">
      <alignment horizontal="center"/>
    </xf>
    <xf numFmtId="167" fontId="43" fillId="22" borderId="33" xfId="0" applyNumberFormat="1" applyFont="1" applyFill="1" applyBorder="1" applyAlignment="1">
      <alignment horizontal="center"/>
    </xf>
    <xf numFmtId="0" fontId="20" fillId="0" borderId="57" xfId="0" applyFont="1" applyBorder="1" applyAlignment="1">
      <alignment horizontal="left"/>
    </xf>
    <xf numFmtId="10" fontId="20" fillId="0" borderId="57" xfId="0" applyNumberFormat="1" applyFont="1" applyBorder="1" applyAlignment="1">
      <alignment horizontal="center"/>
    </xf>
    <xf numFmtId="4" fontId="20" fillId="0" borderId="57" xfId="0" applyNumberFormat="1" applyFont="1" applyBorder="1" applyAlignment="1">
      <alignment horizontal="center"/>
    </xf>
    <xf numFmtId="167" fontId="48" fillId="0" borderId="57" xfId="0" applyNumberFormat="1" applyFont="1" applyBorder="1" applyAlignment="1">
      <alignment horizontal="center"/>
    </xf>
    <xf numFmtId="0" fontId="20" fillId="0" borderId="58" xfId="0" applyFont="1" applyBorder="1" applyAlignment="1">
      <alignment horizontal="left"/>
    </xf>
    <xf numFmtId="10" fontId="20" fillId="0" borderId="58" xfId="0" applyNumberFormat="1" applyFont="1" applyBorder="1" applyAlignment="1">
      <alignment horizontal="center"/>
    </xf>
    <xf numFmtId="4" fontId="20" fillId="0" borderId="58" xfId="0" applyNumberFormat="1" applyFont="1" applyBorder="1" applyAlignment="1">
      <alignment horizontal="center"/>
    </xf>
    <xf numFmtId="167" fontId="48" fillId="0" borderId="58" xfId="0" applyNumberFormat="1" applyFont="1" applyBorder="1" applyAlignment="1">
      <alignment horizontal="center"/>
    </xf>
    <xf numFmtId="0" fontId="43" fillId="0" borderId="33" xfId="0" applyFont="1" applyBorder="1" applyAlignment="1">
      <alignment horizontal="left"/>
    </xf>
    <xf numFmtId="10" fontId="21" fillId="0" borderId="33" xfId="0" applyNumberFormat="1" applyFont="1" applyBorder="1" applyAlignment="1">
      <alignment horizontal="center"/>
    </xf>
    <xf numFmtId="4" fontId="21" fillId="0" borderId="33" xfId="0" applyNumberFormat="1" applyFont="1" applyBorder="1" applyAlignment="1">
      <alignment horizontal="center"/>
    </xf>
    <xf numFmtId="0" fontId="28" fillId="2" borderId="0" xfId="0" applyFont="1" applyFill="1"/>
    <xf numFmtId="0" fontId="85" fillId="0" borderId="0" xfId="0" applyFont="1"/>
    <xf numFmtId="167" fontId="21" fillId="9" borderId="0" xfId="0" applyNumberFormat="1" applyFont="1" applyFill="1" applyAlignment="1">
      <alignment horizontal="center"/>
    </xf>
    <xf numFmtId="0" fontId="21" fillId="4" borderId="4" xfId="0" applyFont="1" applyFill="1" applyBorder="1"/>
    <xf numFmtId="0" fontId="84" fillId="4" borderId="43" xfId="0" applyFont="1" applyFill="1" applyBorder="1" applyAlignment="1">
      <alignment horizontal="left"/>
    </xf>
    <xf numFmtId="164" fontId="48" fillId="4" borderId="44" xfId="0" applyNumberFormat="1" applyFont="1" applyFill="1" applyBorder="1" applyAlignment="1">
      <alignment horizontal="center"/>
    </xf>
    <xf numFmtId="164" fontId="21" fillId="4" borderId="44" xfId="0" applyNumberFormat="1" applyFont="1" applyFill="1" applyBorder="1" applyAlignment="1">
      <alignment horizontal="center"/>
    </xf>
    <xf numFmtId="164" fontId="48" fillId="4" borderId="45" xfId="0" applyNumberFormat="1" applyFont="1" applyFill="1" applyBorder="1" applyAlignment="1">
      <alignment horizontal="center"/>
    </xf>
    <xf numFmtId="164" fontId="48" fillId="4" borderId="46" xfId="0" applyNumberFormat="1" applyFont="1" applyFill="1" applyBorder="1" applyAlignment="1">
      <alignment horizontal="left"/>
    </xf>
    <xf numFmtId="165" fontId="48" fillId="2" borderId="27" xfId="0" applyNumberFormat="1" applyFont="1" applyFill="1" applyBorder="1" applyAlignment="1">
      <alignment horizontal="center"/>
    </xf>
    <xf numFmtId="164" fontId="21" fillId="4" borderId="46" xfId="0" applyNumberFormat="1" applyFont="1" applyFill="1" applyBorder="1" applyAlignment="1">
      <alignment horizontal="left"/>
    </xf>
    <xf numFmtId="165" fontId="21" fillId="22" borderId="27" xfId="0" applyNumberFormat="1" applyFont="1" applyFill="1" applyBorder="1" applyAlignment="1">
      <alignment horizontal="center"/>
    </xf>
    <xf numFmtId="164" fontId="48" fillId="4" borderId="47" xfId="0" applyNumberFormat="1" applyFont="1" applyFill="1" applyBorder="1" applyAlignment="1">
      <alignment horizontal="left"/>
    </xf>
    <xf numFmtId="0" fontId="86" fillId="18" borderId="0" xfId="0" applyFont="1" applyFill="1"/>
    <xf numFmtId="0" fontId="87" fillId="18" borderId="0" xfId="0" applyFont="1" applyFill="1" applyAlignment="1">
      <alignment horizontal="center"/>
    </xf>
    <xf numFmtId="165" fontId="88" fillId="18" borderId="0" xfId="0" applyNumberFormat="1" applyFont="1" applyFill="1" applyAlignment="1">
      <alignment horizontal="center"/>
    </xf>
    <xf numFmtId="0" fontId="23" fillId="18" borderId="0" xfId="0" applyFont="1" applyFill="1"/>
    <xf numFmtId="0" fontId="21" fillId="9" borderId="0" xfId="0" applyFont="1" applyFill="1"/>
    <xf numFmtId="0" fontId="84" fillId="9" borderId="0" xfId="0" applyFont="1" applyFill="1" applyAlignment="1">
      <alignment horizontal="center"/>
    </xf>
    <xf numFmtId="165" fontId="21" fillId="9" borderId="0" xfId="0" applyNumberFormat="1" applyFont="1" applyFill="1" applyAlignment="1">
      <alignment horizontal="center"/>
    </xf>
    <xf numFmtId="0" fontId="23" fillId="9" borderId="0" xfId="0" applyFont="1" applyFill="1"/>
    <xf numFmtId="0" fontId="89" fillId="19" borderId="0" xfId="0" applyFont="1" applyFill="1"/>
    <xf numFmtId="0" fontId="90" fillId="19" borderId="0" xfId="0" applyFont="1" applyFill="1" applyAlignment="1">
      <alignment horizontal="center"/>
    </xf>
    <xf numFmtId="165" fontId="91" fillId="19" borderId="0" xfId="0" applyNumberFormat="1" applyFont="1" applyFill="1" applyAlignment="1">
      <alignment horizontal="center"/>
    </xf>
    <xf numFmtId="0" fontId="23" fillId="19" borderId="0" xfId="0" applyFont="1" applyFill="1"/>
    <xf numFmtId="165" fontId="21" fillId="4" borderId="1" xfId="0" applyNumberFormat="1" applyFont="1" applyFill="1" applyBorder="1" applyAlignment="1">
      <alignment horizontal="center"/>
    </xf>
    <xf numFmtId="0" fontId="87" fillId="0" borderId="0" xfId="0" applyFont="1"/>
    <xf numFmtId="0" fontId="90" fillId="0" borderId="0" xfId="0" applyFont="1"/>
    <xf numFmtId="0" fontId="21" fillId="4" borderId="48" xfId="0" applyFont="1" applyFill="1" applyBorder="1"/>
    <xf numFmtId="0" fontId="21" fillId="4" borderId="49" xfId="0" applyFont="1" applyFill="1" applyBorder="1" applyAlignment="1">
      <alignment horizontal="left" wrapText="1"/>
    </xf>
    <xf numFmtId="0" fontId="21" fillId="4" borderId="50" xfId="0" applyFont="1" applyFill="1" applyBorder="1" applyAlignment="1">
      <alignment horizontal="center" wrapText="1"/>
    </xf>
    <xf numFmtId="0" fontId="21" fillId="4" borderId="51" xfId="0" applyFont="1" applyFill="1" applyBorder="1" applyAlignment="1">
      <alignment horizontal="center" wrapText="1"/>
    </xf>
    <xf numFmtId="0" fontId="62" fillId="0" borderId="0" xfId="0" applyFont="1" applyAlignment="1">
      <alignment horizontal="center"/>
    </xf>
    <xf numFmtId="3" fontId="38" fillId="0" borderId="0" xfId="0" applyNumberFormat="1" applyFont="1" applyAlignment="1">
      <alignment horizontal="center"/>
    </xf>
    <xf numFmtId="3" fontId="48" fillId="0" borderId="0" xfId="0" applyNumberFormat="1" applyFont="1" applyAlignment="1">
      <alignment horizontal="center"/>
    </xf>
    <xf numFmtId="178" fontId="48" fillId="0" borderId="0" xfId="0" applyNumberFormat="1" applyFont="1" applyAlignment="1">
      <alignment horizontal="center"/>
    </xf>
    <xf numFmtId="170" fontId="38" fillId="0" borderId="0" xfId="0" applyNumberFormat="1" applyFont="1" applyAlignment="1">
      <alignment horizontal="center"/>
    </xf>
    <xf numFmtId="0" fontId="35" fillId="0" borderId="0" xfId="0" applyFont="1" applyAlignment="1">
      <alignment horizontal="center"/>
    </xf>
    <xf numFmtId="0" fontId="40" fillId="0" borderId="0" xfId="0" applyFont="1" applyAlignment="1">
      <alignment horizontal="left"/>
    </xf>
    <xf numFmtId="0" fontId="40" fillId="0" borderId="0" xfId="0" applyFont="1" applyAlignment="1">
      <alignment horizontal="center"/>
    </xf>
    <xf numFmtId="0" fontId="92" fillId="0" borderId="0" xfId="0" applyFont="1"/>
    <xf numFmtId="3" fontId="59" fillId="0" borderId="0" xfId="0" applyNumberFormat="1" applyFont="1" applyAlignment="1">
      <alignment horizontal="center"/>
    </xf>
    <xf numFmtId="178" fontId="59" fillId="0" borderId="0" xfId="0" applyNumberFormat="1" applyFont="1" applyAlignment="1">
      <alignment horizontal="center"/>
    </xf>
    <xf numFmtId="0" fontId="28" fillId="0" borderId="0" xfId="0" applyFont="1" applyAlignment="1">
      <alignment horizontal="center"/>
    </xf>
    <xf numFmtId="3" fontId="83" fillId="0" borderId="0" xfId="0" applyNumberFormat="1" applyFont="1" applyAlignment="1">
      <alignment horizontal="center"/>
    </xf>
    <xf numFmtId="0" fontId="36" fillId="0" borderId="0" xfId="0" applyFont="1" applyAlignment="1">
      <alignment horizontal="center"/>
    </xf>
    <xf numFmtId="3" fontId="63" fillId="0" borderId="0" xfId="0" applyNumberFormat="1" applyFont="1" applyAlignment="1">
      <alignment horizontal="center"/>
    </xf>
    <xf numFmtId="178" fontId="44" fillId="0" borderId="0" xfId="0" applyNumberFormat="1" applyFont="1" applyAlignment="1">
      <alignment horizontal="center"/>
    </xf>
    <xf numFmtId="0" fontId="20" fillId="0" borderId="52" xfId="0" applyFont="1" applyBorder="1" applyAlignment="1">
      <alignment horizontal="left"/>
    </xf>
    <xf numFmtId="0" fontId="62" fillId="0" borderId="52" xfId="0" applyFont="1" applyBorder="1" applyAlignment="1">
      <alignment horizontal="center"/>
    </xf>
    <xf numFmtId="3" fontId="38" fillId="0" borderId="52" xfId="0" applyNumberFormat="1" applyFont="1" applyBorder="1" applyAlignment="1">
      <alignment horizontal="center"/>
    </xf>
    <xf numFmtId="3" fontId="63" fillId="0" borderId="52" xfId="0" applyNumberFormat="1" applyFont="1" applyBorder="1" applyAlignment="1">
      <alignment horizontal="center"/>
    </xf>
    <xf numFmtId="0" fontId="36" fillId="0" borderId="52" xfId="0" applyFont="1" applyBorder="1" applyAlignment="1">
      <alignment horizontal="center"/>
    </xf>
    <xf numFmtId="0" fontId="60" fillId="20" borderId="0" xfId="0" applyFont="1" applyFill="1" applyAlignment="1">
      <alignment horizontal="left"/>
    </xf>
    <xf numFmtId="0" fontId="21" fillId="4" borderId="52" xfId="0" applyFont="1" applyFill="1" applyBorder="1" applyAlignment="1">
      <alignment horizontal="left"/>
    </xf>
    <xf numFmtId="0" fontId="21" fillId="4" borderId="52" xfId="0" applyFont="1" applyFill="1" applyBorder="1" applyAlignment="1">
      <alignment horizontal="center"/>
    </xf>
    <xf numFmtId="178" fontId="59" fillId="9" borderId="0" xfId="0" applyNumberFormat="1" applyFont="1" applyFill="1" applyAlignment="1">
      <alignment horizontal="center"/>
    </xf>
    <xf numFmtId="0" fontId="21" fillId="22" borderId="0" xfId="0" applyFont="1" applyFill="1" applyAlignment="1">
      <alignment horizontal="center"/>
    </xf>
    <xf numFmtId="0" fontId="21" fillId="4" borderId="52" xfId="0" applyFont="1" applyFill="1" applyBorder="1" applyAlignment="1">
      <alignment wrapText="1"/>
    </xf>
    <xf numFmtId="0" fontId="21" fillId="21" borderId="52" xfId="0" applyFont="1" applyFill="1" applyBorder="1" applyAlignment="1">
      <alignment horizontal="center" wrapText="1"/>
    </xf>
    <xf numFmtId="178" fontId="20" fillId="0" borderId="0" xfId="0" applyNumberFormat="1" applyFont="1" applyAlignment="1">
      <alignment horizontal="center"/>
    </xf>
    <xf numFmtId="4" fontId="21" fillId="4" borderId="1" xfId="0" applyNumberFormat="1" applyFont="1" applyFill="1" applyBorder="1" applyAlignment="1">
      <alignment horizontal="center"/>
    </xf>
    <xf numFmtId="179" fontId="37" fillId="0" borderId="0" xfId="0" applyNumberFormat="1" applyFont="1" applyAlignment="1">
      <alignment horizontal="center"/>
    </xf>
    <xf numFmtId="0" fontId="63" fillId="0" borderId="53" xfId="0" applyFont="1" applyBorder="1"/>
    <xf numFmtId="167" fontId="63" fillId="14" borderId="53" xfId="0" applyNumberFormat="1" applyFont="1" applyFill="1" applyBorder="1" applyAlignment="1">
      <alignment horizontal="center"/>
    </xf>
    <xf numFmtId="9" fontId="49" fillId="14" borderId="0" xfId="0" applyNumberFormat="1" applyFont="1" applyFill="1" applyAlignment="1">
      <alignment horizontal="center"/>
    </xf>
    <xf numFmtId="9" fontId="49" fillId="9" borderId="0" xfId="0" applyNumberFormat="1" applyFont="1" applyFill="1" applyAlignment="1">
      <alignment horizontal="center"/>
    </xf>
    <xf numFmtId="167" fontId="21" fillId="4" borderId="1" xfId="0" applyNumberFormat="1" applyFont="1" applyFill="1" applyBorder="1" applyAlignment="1">
      <alignment horizontal="center"/>
    </xf>
    <xf numFmtId="0" fontId="43" fillId="0" borderId="54" xfId="0" applyFont="1" applyBorder="1"/>
    <xf numFmtId="167" fontId="93" fillId="9" borderId="54" xfId="0" applyNumberFormat="1" applyFont="1" applyFill="1" applyBorder="1" applyAlignment="1">
      <alignment horizontal="center"/>
    </xf>
    <xf numFmtId="167" fontId="93" fillId="14" borderId="54" xfId="0" applyNumberFormat="1" applyFont="1" applyFill="1" applyBorder="1" applyAlignment="1">
      <alignment horizontal="center"/>
    </xf>
    <xf numFmtId="167" fontId="62" fillId="0" borderId="0" xfId="0" applyNumberFormat="1" applyFont="1" applyAlignment="1">
      <alignment horizontal="center"/>
    </xf>
    <xf numFmtId="167" fontId="56" fillId="0" borderId="0" xfId="0" applyNumberFormat="1" applyFont="1" applyAlignment="1">
      <alignment horizontal="center"/>
    </xf>
    <xf numFmtId="167" fontId="48" fillId="0" borderId="0" xfId="0" applyNumberFormat="1" applyFont="1" applyAlignment="1">
      <alignment horizontal="center"/>
    </xf>
    <xf numFmtId="167" fontId="94" fillId="22" borderId="54" xfId="0" applyNumberFormat="1" applyFont="1" applyFill="1" applyBorder="1" applyAlignment="1">
      <alignment horizontal="center"/>
    </xf>
    <xf numFmtId="0" fontId="95" fillId="0" borderId="0" xfId="0" applyFont="1"/>
    <xf numFmtId="0" fontId="29" fillId="3" borderId="0" xfId="0" applyFont="1" applyFill="1" applyAlignment="1">
      <alignment horizontal="center"/>
    </xf>
    <xf numFmtId="0" fontId="96" fillId="4" borderId="0" xfId="0" applyFont="1" applyFill="1"/>
    <xf numFmtId="0" fontId="19" fillId="2" borderId="0" xfId="0" applyFont="1" applyFill="1"/>
    <xf numFmtId="0" fontId="19" fillId="13" borderId="0" xfId="0" applyFont="1" applyFill="1" applyAlignment="1">
      <alignment vertical="center"/>
    </xf>
    <xf numFmtId="0" fontId="30" fillId="13" borderId="0" xfId="0" applyFont="1" applyFill="1" applyAlignment="1">
      <alignment horizontal="center" vertical="center"/>
    </xf>
    <xf numFmtId="0" fontId="47" fillId="0" borderId="0" xfId="0" applyFont="1" applyAlignment="1">
      <alignment vertical="center" wrapText="1"/>
    </xf>
    <xf numFmtId="164" fontId="62" fillId="0" borderId="0" xfId="0" applyNumberFormat="1" applyFont="1" applyAlignment="1">
      <alignment horizontal="center" vertical="center"/>
    </xf>
    <xf numFmtId="0" fontId="19" fillId="0" borderId="0" xfId="0" applyFont="1" applyAlignment="1">
      <alignment vertical="center" wrapText="1"/>
    </xf>
    <xf numFmtId="0" fontId="47" fillId="0" borderId="33" xfId="0" applyFont="1" applyBorder="1" applyAlignment="1">
      <alignment vertical="center" wrapText="1"/>
    </xf>
    <xf numFmtId="4" fontId="56" fillId="0" borderId="33" xfId="0" applyNumberFormat="1" applyFont="1" applyBorder="1" applyAlignment="1">
      <alignment horizontal="center" vertical="center"/>
    </xf>
    <xf numFmtId="0" fontId="47" fillId="0" borderId="0" xfId="0" applyFont="1" applyAlignment="1">
      <alignment horizontal="center" vertical="center"/>
    </xf>
    <xf numFmtId="0" fontId="47" fillId="0" borderId="32" xfId="0" applyFont="1" applyBorder="1" applyAlignment="1">
      <alignment vertical="center" wrapText="1"/>
    </xf>
    <xf numFmtId="4" fontId="56" fillId="0" borderId="32" xfId="0" applyNumberFormat="1" applyFont="1" applyBorder="1" applyAlignment="1">
      <alignment horizontal="center" vertical="center"/>
    </xf>
    <xf numFmtId="166" fontId="19" fillId="0" borderId="0" xfId="0" applyNumberFormat="1" applyFont="1" applyAlignment="1">
      <alignment horizontal="center" vertical="center"/>
    </xf>
    <xf numFmtId="178" fontId="19" fillId="0" borderId="0" xfId="0" applyNumberFormat="1" applyFont="1" applyAlignment="1">
      <alignment horizontal="center" vertical="center"/>
    </xf>
    <xf numFmtId="1" fontId="37" fillId="0" borderId="0" xfId="0" applyNumberFormat="1" applyFont="1" applyAlignment="1">
      <alignment horizontal="center" vertical="center"/>
    </xf>
    <xf numFmtId="10" fontId="37" fillId="0" borderId="0" xfId="0" applyNumberFormat="1" applyFont="1" applyAlignment="1">
      <alignment horizontal="center" vertical="center"/>
    </xf>
    <xf numFmtId="164" fontId="37" fillId="0" borderId="0" xfId="0" applyNumberFormat="1" applyFont="1" applyAlignment="1">
      <alignment horizontal="center" vertical="center"/>
    </xf>
    <xf numFmtId="0" fontId="19" fillId="0" borderId="32" xfId="0" applyFont="1" applyBorder="1" applyAlignment="1">
      <alignment horizontal="center" vertical="center"/>
    </xf>
    <xf numFmtId="0" fontId="62" fillId="0" borderId="0" xfId="0" applyFont="1" applyAlignment="1">
      <alignment vertical="center" wrapText="1"/>
    </xf>
    <xf numFmtId="4" fontId="62" fillId="0" borderId="0" xfId="0" applyNumberFormat="1" applyFont="1" applyAlignment="1">
      <alignment horizontal="center" vertical="center"/>
    </xf>
    <xf numFmtId="0" fontId="59" fillId="0" borderId="0" xfId="0" applyFont="1" applyAlignment="1">
      <alignment vertical="center" wrapText="1"/>
    </xf>
    <xf numFmtId="0" fontId="19" fillId="0" borderId="33" xfId="0" applyFont="1" applyBorder="1" applyAlignment="1">
      <alignment horizontal="center" vertical="center"/>
    </xf>
    <xf numFmtId="0" fontId="21" fillId="0" borderId="55" xfId="0" applyFont="1" applyBorder="1" applyAlignment="1">
      <alignment vertical="center" wrapText="1"/>
    </xf>
    <xf numFmtId="165" fontId="21" fillId="9" borderId="56" xfId="0" applyNumberFormat="1" applyFont="1" applyFill="1" applyBorder="1" applyAlignment="1">
      <alignment horizontal="center" vertical="center"/>
    </xf>
    <xf numFmtId="2" fontId="37" fillId="0" borderId="0" xfId="0" applyNumberFormat="1" applyFont="1" applyAlignment="1">
      <alignment horizontal="center" vertical="center"/>
    </xf>
    <xf numFmtId="0" fontId="40" fillId="0" borderId="0" xfId="0" applyFont="1" applyAlignment="1">
      <alignment horizontal="center" vertical="center"/>
    </xf>
    <xf numFmtId="9" fontId="37" fillId="0" borderId="0" xfId="0" applyNumberFormat="1" applyFont="1" applyAlignment="1">
      <alignment horizontal="center" vertical="center"/>
    </xf>
    <xf numFmtId="0" fontId="38" fillId="0" borderId="0" xfId="0" applyFont="1" applyAlignment="1">
      <alignment horizontal="center" vertical="center"/>
    </xf>
    <xf numFmtId="49" fontId="48" fillId="23" borderId="0" xfId="0" applyNumberFormat="1" applyFont="1" applyFill="1" applyAlignment="1">
      <alignment horizontal="center"/>
    </xf>
    <xf numFmtId="0" fontId="30" fillId="0" borderId="0" xfId="0" applyFont="1"/>
    <xf numFmtId="0" fontId="29" fillId="24" borderId="0" xfId="0" applyFont="1" applyFill="1" applyAlignment="1">
      <alignment horizontal="center"/>
    </xf>
    <xf numFmtId="0" fontId="82" fillId="0" borderId="0" xfId="0" applyFont="1"/>
    <xf numFmtId="0" fontId="96" fillId="0" borderId="0" xfId="0" applyFont="1"/>
    <xf numFmtId="0" fontId="97" fillId="0" borderId="0" xfId="0" applyFont="1"/>
    <xf numFmtId="0" fontId="24" fillId="0" borderId="6" xfId="0" applyFont="1" applyBorder="1"/>
    <xf numFmtId="0" fontId="30" fillId="24" borderId="59" xfId="0" applyFont="1" applyFill="1" applyBorder="1" applyAlignment="1">
      <alignment horizontal="left"/>
    </xf>
    <xf numFmtId="0" fontId="20" fillId="0" borderId="6" xfId="0" applyFont="1" applyBorder="1" applyAlignment="1">
      <alignment horizontal="left"/>
    </xf>
    <xf numFmtId="0" fontId="20" fillId="0" borderId="60" xfId="0" applyFont="1" applyBorder="1" applyAlignment="1">
      <alignment horizontal="left"/>
    </xf>
    <xf numFmtId="0" fontId="48" fillId="0" borderId="60" xfId="0" applyFont="1" applyBorder="1" applyAlignment="1">
      <alignment horizontal="left"/>
    </xf>
    <xf numFmtId="0" fontId="21" fillId="0" borderId="33" xfId="0" applyFont="1" applyBorder="1" applyAlignment="1">
      <alignment horizontal="left"/>
    </xf>
    <xf numFmtId="4" fontId="53" fillId="0" borderId="0" xfId="0" applyNumberFormat="1" applyFont="1"/>
    <xf numFmtId="4" fontId="21" fillId="4" borderId="1" xfId="0" applyNumberFormat="1" applyFont="1" applyFill="1" applyBorder="1"/>
    <xf numFmtId="0" fontId="24" fillId="27" borderId="0" xfId="0" applyFont="1" applyFill="1"/>
    <xf numFmtId="0" fontId="21" fillId="21" borderId="1" xfId="0" applyFont="1" applyFill="1" applyBorder="1"/>
    <xf numFmtId="0" fontId="24" fillId="17" borderId="6" xfId="0" applyFont="1" applyFill="1" applyBorder="1"/>
    <xf numFmtId="0" fontId="21" fillId="21" borderId="1" xfId="0" applyFont="1" applyFill="1" applyBorder="1" applyAlignment="1">
      <alignment horizontal="center"/>
    </xf>
    <xf numFmtId="0" fontId="21" fillId="26" borderId="0" xfId="0" applyFont="1" applyFill="1"/>
    <xf numFmtId="0" fontId="24" fillId="26" borderId="0" xfId="0" applyFont="1" applyFill="1"/>
    <xf numFmtId="0" fontId="24" fillId="0" borderId="32" xfId="0" applyFont="1" applyBorder="1"/>
    <xf numFmtId="0" fontId="19" fillId="0" borderId="32" xfId="0" applyFont="1" applyBorder="1"/>
    <xf numFmtId="0" fontId="24" fillId="0" borderId="33" xfId="0" applyFont="1" applyBorder="1"/>
    <xf numFmtId="0" fontId="19" fillId="0" borderId="33" xfId="0" applyFont="1" applyBorder="1"/>
    <xf numFmtId="0" fontId="30" fillId="24" borderId="0" xfId="0" applyFont="1" applyFill="1"/>
    <xf numFmtId="0" fontId="47" fillId="26" borderId="0" xfId="0" applyFont="1" applyFill="1"/>
    <xf numFmtId="0" fontId="47" fillId="27" borderId="0" xfId="0" applyFont="1" applyFill="1"/>
    <xf numFmtId="185" fontId="37" fillId="0" borderId="0" xfId="0" applyNumberFormat="1" applyFont="1"/>
    <xf numFmtId="185" fontId="24" fillId="0" borderId="0" xfId="0" applyNumberFormat="1" applyFont="1"/>
    <xf numFmtId="185" fontId="53" fillId="0" borderId="0" xfId="0" applyNumberFormat="1" applyFont="1"/>
    <xf numFmtId="185" fontId="21" fillId="4" borderId="1" xfId="0" applyNumberFormat="1" applyFont="1" applyFill="1" applyBorder="1"/>
    <xf numFmtId="4" fontId="24" fillId="17" borderId="33" xfId="0" applyNumberFormat="1" applyFont="1" applyFill="1" applyBorder="1"/>
    <xf numFmtId="185" fontId="24" fillId="17" borderId="33" xfId="0" applyNumberFormat="1" applyFont="1" applyFill="1" applyBorder="1"/>
    <xf numFmtId="0" fontId="47" fillId="0" borderId="32" xfId="0" applyFont="1" applyBorder="1"/>
    <xf numFmtId="0" fontId="24" fillId="0" borderId="1" xfId="0" applyFont="1" applyBorder="1"/>
    <xf numFmtId="0" fontId="47" fillId="0" borderId="1" xfId="0" applyFont="1" applyBorder="1"/>
    <xf numFmtId="0" fontId="21" fillId="26" borderId="1" xfId="0" applyFont="1" applyFill="1" applyBorder="1"/>
    <xf numFmtId="0" fontId="24" fillId="27" borderId="32" xfId="0" applyFont="1" applyFill="1" applyBorder="1"/>
    <xf numFmtId="0" fontId="47" fillId="27" borderId="32" xfId="0" applyFont="1" applyFill="1" applyBorder="1"/>
    <xf numFmtId="4" fontId="53" fillId="0" borderId="0" xfId="0" applyNumberFormat="1" applyFont="1" applyAlignment="1">
      <alignment horizontal="center"/>
    </xf>
    <xf numFmtId="4" fontId="24" fillId="0" borderId="6" xfId="0" applyNumberFormat="1" applyFont="1" applyBorder="1" applyAlignment="1">
      <alignment horizontal="center"/>
    </xf>
    <xf numFmtId="4" fontId="24" fillId="27" borderId="33" xfId="0" applyNumberFormat="1" applyFont="1" applyFill="1" applyBorder="1" applyAlignment="1">
      <alignment horizontal="center"/>
    </xf>
    <xf numFmtId="4" fontId="24" fillId="17" borderId="0" xfId="0" applyNumberFormat="1" applyFont="1" applyFill="1" applyAlignment="1">
      <alignment horizontal="center"/>
    </xf>
    <xf numFmtId="185" fontId="40" fillId="0" borderId="0" xfId="0" applyNumberFormat="1" applyFont="1" applyAlignment="1">
      <alignment horizontal="center"/>
    </xf>
    <xf numFmtId="10" fontId="21" fillId="4" borderId="1" xfId="0" applyNumberFormat="1" applyFont="1" applyFill="1" applyBorder="1" applyAlignment="1">
      <alignment horizontal="center"/>
    </xf>
    <xf numFmtId="164" fontId="38" fillId="0" borderId="0" xfId="0" applyNumberFormat="1" applyFont="1"/>
    <xf numFmtId="185" fontId="38" fillId="0" borderId="0" xfId="0" applyNumberFormat="1" applyFont="1" applyAlignment="1">
      <alignment horizontal="center"/>
    </xf>
    <xf numFmtId="185" fontId="20" fillId="2" borderId="0" xfId="0" applyNumberFormat="1" applyFont="1" applyFill="1" applyAlignment="1">
      <alignment horizontal="center"/>
    </xf>
    <xf numFmtId="185" fontId="38" fillId="2" borderId="0" xfId="0" applyNumberFormat="1" applyFont="1" applyFill="1" applyAlignment="1">
      <alignment horizontal="center"/>
    </xf>
    <xf numFmtId="185" fontId="24" fillId="0" borderId="0" xfId="0" applyNumberFormat="1" applyFont="1" applyAlignment="1">
      <alignment horizontal="center"/>
    </xf>
    <xf numFmtId="185" fontId="48" fillId="2" borderId="0" xfId="0" applyNumberFormat="1" applyFont="1" applyFill="1" applyAlignment="1">
      <alignment horizontal="center"/>
    </xf>
    <xf numFmtId="185" fontId="53" fillId="0" borderId="0" xfId="0" applyNumberFormat="1" applyFont="1" applyAlignment="1">
      <alignment horizontal="center"/>
    </xf>
    <xf numFmtId="185" fontId="37" fillId="0" borderId="0" xfId="0" applyNumberFormat="1" applyFont="1" applyAlignment="1">
      <alignment horizontal="center"/>
    </xf>
    <xf numFmtId="0" fontId="47" fillId="27" borderId="0" xfId="0" applyFont="1" applyFill="1" applyAlignment="1">
      <alignment horizontal="center"/>
    </xf>
    <xf numFmtId="185" fontId="24" fillId="0" borderId="32" xfId="0" applyNumberFormat="1" applyFont="1" applyBorder="1" applyAlignment="1">
      <alignment horizontal="center"/>
    </xf>
    <xf numFmtId="185" fontId="24" fillId="0" borderId="1" xfId="0" applyNumberFormat="1" applyFont="1" applyBorder="1" applyAlignment="1">
      <alignment horizontal="center"/>
    </xf>
    <xf numFmtId="0" fontId="23" fillId="0" borderId="0" xfId="0" applyFont="1" applyAlignment="1">
      <alignment horizontal="center"/>
    </xf>
    <xf numFmtId="0" fontId="21" fillId="26" borderId="1" xfId="0" applyFont="1" applyFill="1" applyBorder="1" applyAlignment="1">
      <alignment horizontal="center"/>
    </xf>
    <xf numFmtId="1" fontId="83" fillId="0" borderId="0" xfId="0" applyNumberFormat="1" applyFont="1" applyAlignment="1">
      <alignment horizontal="center"/>
    </xf>
    <xf numFmtId="1" fontId="48" fillId="0" borderId="0" xfId="0" applyNumberFormat="1" applyFont="1" applyAlignment="1">
      <alignment horizontal="center"/>
    </xf>
    <xf numFmtId="185" fontId="98" fillId="0" borderId="0" xfId="0" applyNumberFormat="1" applyFont="1" applyAlignment="1">
      <alignment horizontal="center"/>
    </xf>
    <xf numFmtId="185" fontId="48" fillId="0" borderId="0" xfId="0" applyNumberFormat="1" applyFont="1" applyAlignment="1">
      <alignment horizontal="center"/>
    </xf>
    <xf numFmtId="185" fontId="93" fillId="0" borderId="0" xfId="0" applyNumberFormat="1" applyFont="1" applyAlignment="1">
      <alignment horizontal="center"/>
    </xf>
    <xf numFmtId="185" fontId="20" fillId="0" borderId="0" xfId="0" applyNumberFormat="1" applyFont="1" applyAlignment="1">
      <alignment horizontal="center"/>
    </xf>
    <xf numFmtId="185" fontId="99" fillId="0" borderId="0" xfId="0" applyNumberFormat="1" applyFont="1" applyAlignment="1">
      <alignment horizontal="center"/>
    </xf>
    <xf numFmtId="185" fontId="48" fillId="0" borderId="32" xfId="0" applyNumberFormat="1" applyFont="1" applyBorder="1" applyAlignment="1">
      <alignment horizontal="center"/>
    </xf>
    <xf numFmtId="185" fontId="48" fillId="27" borderId="32" xfId="0" applyNumberFormat="1" applyFont="1" applyFill="1" applyBorder="1" applyAlignment="1">
      <alignment horizontal="center"/>
    </xf>
    <xf numFmtId="0" fontId="47" fillId="0" borderId="33" xfId="0" applyFont="1" applyBorder="1"/>
    <xf numFmtId="185" fontId="48" fillId="27" borderId="33" xfId="0" applyNumberFormat="1" applyFont="1" applyFill="1" applyBorder="1" applyAlignment="1">
      <alignment horizontal="center"/>
    </xf>
    <xf numFmtId="0" fontId="24" fillId="0" borderId="0" xfId="0" applyFont="1" applyAlignment="1">
      <alignment horizontal="center"/>
    </xf>
    <xf numFmtId="186" fontId="21" fillId="0" borderId="0" xfId="0" applyNumberFormat="1" applyFont="1" applyAlignment="1">
      <alignment horizontal="center"/>
    </xf>
    <xf numFmtId="186" fontId="48" fillId="0" borderId="0" xfId="0" applyNumberFormat="1" applyFont="1" applyAlignment="1">
      <alignment horizontal="center"/>
    </xf>
    <xf numFmtId="186" fontId="48" fillId="4" borderId="1" xfId="0" applyNumberFormat="1" applyFont="1" applyFill="1" applyBorder="1" applyAlignment="1">
      <alignment horizontal="center"/>
    </xf>
    <xf numFmtId="0" fontId="95" fillId="4" borderId="1" xfId="0" applyFont="1" applyFill="1" applyBorder="1"/>
    <xf numFmtId="0" fontId="21" fillId="26" borderId="0" xfId="0" applyFont="1" applyFill="1" applyAlignment="1">
      <alignment horizontal="center"/>
    </xf>
    <xf numFmtId="3" fontId="37" fillId="0" borderId="0" xfId="0" applyNumberFormat="1" applyFont="1" applyAlignment="1">
      <alignment horizontal="center"/>
    </xf>
    <xf numFmtId="0" fontId="19" fillId="0" borderId="6" xfId="0" applyFont="1" applyBorder="1" applyAlignment="1">
      <alignment horizontal="center"/>
    </xf>
    <xf numFmtId="3" fontId="56" fillId="4" borderId="0" xfId="0" applyNumberFormat="1" applyFont="1" applyFill="1" applyAlignment="1">
      <alignment horizontal="center"/>
    </xf>
    <xf numFmtId="3" fontId="24" fillId="27" borderId="6" xfId="0" applyNumberFormat="1" applyFont="1" applyFill="1" applyBorder="1" applyAlignment="1">
      <alignment horizontal="center"/>
    </xf>
    <xf numFmtId="4" fontId="24" fillId="0" borderId="0" xfId="0" applyNumberFormat="1" applyFont="1" applyAlignment="1">
      <alignment horizontal="center"/>
    </xf>
    <xf numFmtId="3" fontId="38" fillId="0" borderId="6" xfId="0" applyNumberFormat="1" applyFont="1" applyBorder="1" applyAlignment="1">
      <alignment horizontal="center"/>
    </xf>
    <xf numFmtId="3" fontId="37" fillId="0" borderId="6" xfId="0" applyNumberFormat="1" applyFont="1" applyBorder="1" applyAlignment="1">
      <alignment horizontal="center"/>
    </xf>
    <xf numFmtId="3" fontId="53" fillId="0" borderId="0" xfId="0" applyNumberFormat="1" applyFont="1" applyAlignment="1">
      <alignment horizontal="center"/>
    </xf>
    <xf numFmtId="2" fontId="49" fillId="4" borderId="1" xfId="0" applyNumberFormat="1" applyFont="1" applyFill="1" applyBorder="1" applyAlignment="1">
      <alignment horizontal="center"/>
    </xf>
    <xf numFmtId="4" fontId="21" fillId="4" borderId="0" xfId="0" applyNumberFormat="1" applyFont="1" applyFill="1" applyAlignment="1">
      <alignment horizontal="center"/>
    </xf>
    <xf numFmtId="4" fontId="24" fillId="27" borderId="6" xfId="0" applyNumberFormat="1" applyFont="1" applyFill="1" applyBorder="1" applyAlignment="1">
      <alignment horizontal="center"/>
    </xf>
    <xf numFmtId="164" fontId="53" fillId="0" borderId="0" xfId="0" applyNumberFormat="1" applyFont="1" applyAlignment="1">
      <alignment horizontal="center"/>
    </xf>
    <xf numFmtId="164" fontId="53" fillId="0" borderId="6" xfId="0" applyNumberFormat="1" applyFont="1" applyBorder="1" applyAlignment="1">
      <alignment horizontal="center"/>
    </xf>
    <xf numFmtId="3" fontId="24" fillId="0" borderId="6" xfId="0" applyNumberFormat="1" applyFont="1" applyBorder="1" applyAlignment="1">
      <alignment horizontal="center"/>
    </xf>
    <xf numFmtId="3" fontId="24" fillId="0" borderId="80" xfId="0" applyNumberFormat="1" applyFont="1" applyBorder="1" applyAlignment="1">
      <alignment horizontal="center"/>
    </xf>
    <xf numFmtId="0" fontId="62" fillId="0" borderId="0" xfId="0" applyFont="1"/>
    <xf numFmtId="0" fontId="19" fillId="24" borderId="59" xfId="0" applyFont="1" applyFill="1" applyBorder="1"/>
    <xf numFmtId="0" fontId="19" fillId="0" borderId="60" xfId="0" applyFont="1" applyBorder="1"/>
    <xf numFmtId="172" fontId="19" fillId="0" borderId="0" xfId="0" applyNumberFormat="1" applyFont="1" applyAlignment="1">
      <alignment horizontal="center"/>
    </xf>
    <xf numFmtId="0" fontId="19" fillId="24" borderId="59" xfId="0" applyFont="1" applyFill="1" applyBorder="1" applyAlignment="1">
      <alignment horizontal="center"/>
    </xf>
    <xf numFmtId="180" fontId="20" fillId="0" borderId="6" xfId="0" applyNumberFormat="1" applyFont="1" applyBorder="1" applyAlignment="1">
      <alignment horizontal="center"/>
    </xf>
    <xf numFmtId="181" fontId="20" fillId="0" borderId="0" xfId="0" applyNumberFormat="1" applyFont="1" applyAlignment="1">
      <alignment horizontal="center"/>
    </xf>
    <xf numFmtId="180" fontId="20" fillId="0" borderId="0" xfId="0" applyNumberFormat="1" applyFont="1" applyAlignment="1">
      <alignment horizontal="center"/>
    </xf>
    <xf numFmtId="180" fontId="20" fillId="0" borderId="60" xfId="0" applyNumberFormat="1" applyFont="1" applyBorder="1" applyAlignment="1">
      <alignment horizontal="center"/>
    </xf>
    <xf numFmtId="180" fontId="48" fillId="0" borderId="60" xfId="0" applyNumberFormat="1" applyFont="1" applyBorder="1" applyAlignment="1">
      <alignment horizontal="center"/>
    </xf>
    <xf numFmtId="180" fontId="48" fillId="0" borderId="32" xfId="0" applyNumberFormat="1" applyFont="1" applyBorder="1" applyAlignment="1">
      <alignment horizontal="center"/>
    </xf>
    <xf numFmtId="180" fontId="21" fillId="0" borderId="33" xfId="0" applyNumberFormat="1" applyFont="1" applyBorder="1" applyAlignment="1">
      <alignment horizontal="center"/>
    </xf>
    <xf numFmtId="3" fontId="53" fillId="0" borderId="6" xfId="0" applyNumberFormat="1" applyFont="1" applyBorder="1" applyAlignment="1">
      <alignment horizontal="center"/>
    </xf>
    <xf numFmtId="2" fontId="21" fillId="4" borderId="1" xfId="0" applyNumberFormat="1" applyFont="1" applyFill="1" applyBorder="1" applyAlignment="1">
      <alignment horizontal="center"/>
    </xf>
    <xf numFmtId="3" fontId="21" fillId="4" borderId="0" xfId="0" applyNumberFormat="1" applyFont="1" applyFill="1" applyAlignment="1">
      <alignment horizontal="center"/>
    </xf>
    <xf numFmtId="187" fontId="21" fillId="21" borderId="1" xfId="0" applyNumberFormat="1" applyFont="1" applyFill="1" applyBorder="1"/>
    <xf numFmtId="187" fontId="38" fillId="0" borderId="0" xfId="0" applyNumberFormat="1" applyFont="1"/>
    <xf numFmtId="184" fontId="6" fillId="0" borderId="0" xfId="0" applyNumberFormat="1" applyFont="1" applyAlignment="1">
      <alignment horizontal="center" vertical="center"/>
    </xf>
    <xf numFmtId="184" fontId="0" fillId="0" borderId="0" xfId="0" applyNumberFormat="1"/>
    <xf numFmtId="164" fontId="0" fillId="0" borderId="0" xfId="0" applyNumberFormat="1"/>
    <xf numFmtId="164" fontId="20" fillId="0" borderId="24" xfId="0" applyNumberFormat="1" applyFont="1" applyBorder="1" applyAlignment="1">
      <alignment horizontal="center" vertical="center"/>
    </xf>
    <xf numFmtId="164" fontId="20" fillId="0" borderId="25" xfId="0" applyNumberFormat="1" applyFont="1" applyBorder="1" applyAlignment="1">
      <alignment horizontal="center" vertical="center"/>
    </xf>
    <xf numFmtId="10" fontId="20" fillId="0" borderId="27" xfId="0" applyNumberFormat="1" applyFont="1" applyBorder="1" applyAlignment="1">
      <alignment horizontal="center" vertical="center"/>
    </xf>
    <xf numFmtId="10" fontId="20" fillId="0" borderId="28" xfId="0" applyNumberFormat="1" applyFont="1" applyBorder="1" applyAlignment="1">
      <alignment horizontal="center" vertical="center"/>
    </xf>
    <xf numFmtId="1" fontId="20" fillId="0" borderId="24" xfId="0" applyNumberFormat="1" applyFont="1" applyBorder="1" applyAlignment="1">
      <alignment horizontal="center" vertical="center"/>
    </xf>
    <xf numFmtId="1" fontId="20" fillId="0" borderId="25" xfId="0" applyNumberFormat="1" applyFont="1" applyBorder="1" applyAlignment="1">
      <alignment horizontal="center" vertical="center"/>
    </xf>
    <xf numFmtId="1" fontId="20" fillId="0" borderId="27" xfId="0" applyNumberFormat="1" applyFont="1" applyBorder="1" applyAlignment="1">
      <alignment horizontal="center" vertical="center"/>
    </xf>
    <xf numFmtId="1" fontId="20" fillId="0" borderId="28" xfId="0" applyNumberFormat="1" applyFont="1" applyBorder="1" applyAlignment="1">
      <alignment horizontal="center" vertical="center"/>
    </xf>
    <xf numFmtId="2" fontId="20" fillId="0" borderId="0" xfId="0" applyNumberFormat="1" applyFont="1" applyAlignment="1">
      <alignment horizontal="center" vertical="center"/>
    </xf>
    <xf numFmtId="10" fontId="20" fillId="0" borderId="0" xfId="0" applyNumberFormat="1" applyFont="1" applyAlignment="1">
      <alignment horizontal="center" vertical="center"/>
    </xf>
    <xf numFmtId="10" fontId="20" fillId="9" borderId="0" xfId="0" applyNumberFormat="1" applyFont="1" applyFill="1" applyAlignment="1">
      <alignment horizontal="center" vertical="center"/>
    </xf>
    <xf numFmtId="4" fontId="20" fillId="0" borderId="0" xfId="0" applyNumberFormat="1" applyFont="1" applyAlignment="1">
      <alignment horizontal="center" vertical="center"/>
    </xf>
    <xf numFmtId="10" fontId="20" fillId="22" borderId="0" xfId="0" applyNumberFormat="1" applyFont="1" applyFill="1" applyAlignment="1">
      <alignment horizontal="center"/>
    </xf>
    <xf numFmtId="4" fontId="20" fillId="0" borderId="52" xfId="0" applyNumberFormat="1" applyFont="1" applyBorder="1" applyAlignment="1">
      <alignment horizontal="center"/>
    </xf>
    <xf numFmtId="170" fontId="21" fillId="4" borderId="1" xfId="0" applyNumberFormat="1" applyFont="1" applyFill="1" applyBorder="1"/>
    <xf numFmtId="0" fontId="100" fillId="28" borderId="0" xfId="0" applyFont="1" applyFill="1"/>
    <xf numFmtId="0" fontId="0" fillId="28" borderId="0" xfId="0" applyFill="1"/>
    <xf numFmtId="0" fontId="102" fillId="0" borderId="0" xfId="0" applyFont="1"/>
    <xf numFmtId="0" fontId="103" fillId="0" borderId="0" xfId="0" applyFont="1"/>
    <xf numFmtId="0" fontId="103" fillId="21" borderId="81" xfId="0" applyFont="1" applyFill="1" applyBorder="1"/>
    <xf numFmtId="0" fontId="0" fillId="0" borderId="84" xfId="0" applyBorder="1"/>
    <xf numFmtId="0" fontId="0" fillId="0" borderId="85" xfId="0" applyBorder="1"/>
    <xf numFmtId="0" fontId="103" fillId="0" borderId="87" xfId="0" applyFont="1" applyBorder="1"/>
    <xf numFmtId="4" fontId="92" fillId="0" borderId="0" xfId="0" applyNumberFormat="1" applyFont="1"/>
    <xf numFmtId="10" fontId="92" fillId="0" borderId="0" xfId="0" applyNumberFormat="1" applyFont="1"/>
    <xf numFmtId="4" fontId="23" fillId="0" borderId="0" xfId="0" applyNumberFormat="1" applyFont="1"/>
    <xf numFmtId="189" fontId="20" fillId="2" borderId="0" xfId="0" applyNumberFormat="1" applyFont="1" applyFill="1" applyAlignment="1">
      <alignment horizontal="center"/>
    </xf>
    <xf numFmtId="189" fontId="0" fillId="0" borderId="0" xfId="0" applyNumberFormat="1"/>
    <xf numFmtId="189" fontId="38" fillId="2" borderId="0" xfId="0" applyNumberFormat="1" applyFont="1" applyFill="1" applyAlignment="1">
      <alignment horizontal="center"/>
    </xf>
    <xf numFmtId="189" fontId="48" fillId="2" borderId="0" xfId="0" applyNumberFormat="1" applyFont="1" applyFill="1" applyAlignment="1">
      <alignment horizontal="center"/>
    </xf>
    <xf numFmtId="189" fontId="37" fillId="0" borderId="0" xfId="0" applyNumberFormat="1" applyFont="1"/>
    <xf numFmtId="189" fontId="7" fillId="0" borderId="0" xfId="0" applyNumberFormat="1" applyFont="1" applyAlignment="1">
      <alignment horizontal="center" vertical="center"/>
    </xf>
    <xf numFmtId="0" fontId="83" fillId="0" borderId="0" xfId="0" applyFont="1"/>
    <xf numFmtId="4" fontId="83" fillId="0" borderId="0" xfId="0" applyNumberFormat="1" applyFont="1"/>
    <xf numFmtId="188" fontId="83" fillId="0" borderId="0" xfId="0" applyNumberFormat="1" applyFont="1"/>
    <xf numFmtId="184" fontId="37" fillId="0" borderId="0" xfId="0" applyNumberFormat="1" applyFont="1" applyAlignment="1">
      <alignment horizontal="center" vertical="center"/>
    </xf>
    <xf numFmtId="0" fontId="108" fillId="0" borderId="0" xfId="0" applyFont="1"/>
    <xf numFmtId="4" fontId="0" fillId="0" borderId="0" xfId="0" applyNumberFormat="1"/>
    <xf numFmtId="0" fontId="103" fillId="21" borderId="82" xfId="0" applyFont="1" applyFill="1" applyBorder="1" applyAlignment="1">
      <alignment horizontal="center"/>
    </xf>
    <xf numFmtId="0" fontId="103" fillId="21" borderId="83" xfId="0" applyFont="1" applyFill="1" applyBorder="1" applyAlignment="1">
      <alignment horizontal="center"/>
    </xf>
    <xf numFmtId="4" fontId="105" fillId="0" borderId="85" xfId="0" applyNumberFormat="1" applyFont="1" applyBorder="1"/>
    <xf numFmtId="4" fontId="105" fillId="0" borderId="86" xfId="0" applyNumberFormat="1" applyFont="1" applyBorder="1"/>
    <xf numFmtId="188" fontId="105" fillId="0" borderId="85" xfId="0" applyNumberFormat="1" applyFont="1" applyBorder="1"/>
    <xf numFmtId="188" fontId="105" fillId="0" borderId="86" xfId="0" applyNumberFormat="1" applyFont="1" applyBorder="1"/>
    <xf numFmtId="0" fontId="106" fillId="0" borderId="84" xfId="0" applyFont="1" applyBorder="1"/>
    <xf numFmtId="4" fontId="104" fillId="0" borderId="85" xfId="0" applyNumberFormat="1" applyFont="1" applyBorder="1"/>
    <xf numFmtId="0" fontId="0" fillId="0" borderId="86" xfId="0" applyBorder="1"/>
    <xf numFmtId="4" fontId="107" fillId="0" borderId="88" xfId="0" applyNumberFormat="1" applyFont="1" applyBorder="1"/>
    <xf numFmtId="4" fontId="107" fillId="0" borderId="89" xfId="0" applyNumberFormat="1" applyFont="1" applyBorder="1"/>
    <xf numFmtId="0" fontId="47" fillId="29" borderId="0" xfId="0" applyFont="1" applyFill="1"/>
    <xf numFmtId="0" fontId="0" fillId="29" borderId="0" xfId="0" applyFill="1"/>
    <xf numFmtId="0" fontId="0" fillId="30" borderId="0" xfId="0" applyFill="1"/>
    <xf numFmtId="0" fontId="109" fillId="30" borderId="91" xfId="0" applyFont="1" applyFill="1" applyBorder="1"/>
    <xf numFmtId="0" fontId="95" fillId="30" borderId="92" xfId="0" applyFont="1" applyFill="1" applyBorder="1"/>
    <xf numFmtId="0" fontId="110" fillId="30" borderId="92" xfId="0" applyFont="1" applyFill="1" applyBorder="1"/>
    <xf numFmtId="0" fontId="110" fillId="30" borderId="93" xfId="0" applyFont="1" applyFill="1" applyBorder="1"/>
    <xf numFmtId="0" fontId="101" fillId="0" borderId="94" xfId="0" applyFont="1" applyBorder="1"/>
    <xf numFmtId="0" fontId="101" fillId="0" borderId="95" xfId="0" applyFont="1" applyBorder="1"/>
    <xf numFmtId="0" fontId="101" fillId="0" borderId="96" xfId="0" applyFont="1" applyBorder="1"/>
    <xf numFmtId="0" fontId="101" fillId="0" borderId="97" xfId="0" applyFont="1" applyBorder="1"/>
    <xf numFmtId="0" fontId="101" fillId="0" borderId="98" xfId="0" applyFont="1" applyBorder="1"/>
    <xf numFmtId="0" fontId="101" fillId="0" borderId="99" xfId="0" applyFont="1" applyBorder="1"/>
    <xf numFmtId="0" fontId="111" fillId="29" borderId="0" xfId="0" applyFont="1" applyFill="1"/>
    <xf numFmtId="0" fontId="101" fillId="29" borderId="0" xfId="0" applyFont="1" applyFill="1"/>
    <xf numFmtId="49" fontId="30" fillId="3" borderId="0" xfId="0" applyNumberFormat="1" applyFont="1" applyFill="1" applyAlignment="1">
      <alignment horizontal="center"/>
    </xf>
    <xf numFmtId="0" fontId="0" fillId="21" borderId="0" xfId="0" applyFill="1"/>
    <xf numFmtId="0" fontId="112" fillId="0" borderId="0" xfId="0" applyFont="1"/>
    <xf numFmtId="3" fontId="104" fillId="0" borderId="0" xfId="0" applyNumberFormat="1" applyFont="1" applyAlignment="1">
      <alignment horizontal="center"/>
    </xf>
    <xf numFmtId="0" fontId="113" fillId="24" borderId="0" xfId="0" applyFont="1" applyFill="1" applyAlignment="1">
      <alignment horizontal="center"/>
    </xf>
    <xf numFmtId="0" fontId="0" fillId="24" borderId="0" xfId="0" applyFill="1"/>
    <xf numFmtId="0" fontId="0" fillId="0" borderId="0" xfId="0" applyAlignment="1">
      <alignment horizontal="center"/>
    </xf>
    <xf numFmtId="4" fontId="0" fillId="0" borderId="0" xfId="0" applyNumberFormat="1" applyAlignment="1">
      <alignment horizontal="center"/>
    </xf>
    <xf numFmtId="190" fontId="0" fillId="0" borderId="0" xfId="0" applyNumberFormat="1" applyAlignment="1">
      <alignment horizontal="center"/>
    </xf>
    <xf numFmtId="0" fontId="21" fillId="31" borderId="0" xfId="0" applyFont="1" applyFill="1"/>
    <xf numFmtId="10" fontId="38" fillId="0" borderId="0" xfId="0" applyNumberFormat="1" applyFont="1"/>
    <xf numFmtId="0" fontId="61" fillId="31" borderId="0" xfId="0" applyFont="1" applyFill="1"/>
    <xf numFmtId="0" fontId="37" fillId="0" borderId="0" xfId="0" applyFont="1" applyAlignment="1">
      <alignment horizontal="right"/>
    </xf>
    <xf numFmtId="0" fontId="38" fillId="0" borderId="0" xfId="0" applyFont="1" applyAlignment="1">
      <alignment horizontal="right"/>
    </xf>
    <xf numFmtId="0" fontId="39" fillId="0" borderId="0" xfId="0" applyFont="1" applyAlignment="1">
      <alignment horizontal="right"/>
    </xf>
    <xf numFmtId="10" fontId="38" fillId="0" borderId="0" xfId="2" applyNumberFormat="1" applyFont="1"/>
    <xf numFmtId="0" fontId="19" fillId="31" borderId="0" xfId="0" applyFont="1" applyFill="1"/>
    <xf numFmtId="166" fontId="115" fillId="31" borderId="0" xfId="0" applyNumberFormat="1" applyFont="1" applyFill="1" applyAlignment="1">
      <alignment horizontal="center"/>
    </xf>
    <xf numFmtId="4" fontId="37" fillId="0" borderId="0" xfId="0" applyNumberFormat="1" applyFont="1" applyAlignment="1">
      <alignment horizontal="right"/>
    </xf>
    <xf numFmtId="4" fontId="38" fillId="0" borderId="0" xfId="0" applyNumberFormat="1" applyFont="1" applyAlignment="1">
      <alignment horizontal="right"/>
    </xf>
    <xf numFmtId="4" fontId="39" fillId="0" borderId="0" xfId="0" applyNumberFormat="1" applyFont="1" applyAlignment="1">
      <alignment horizontal="right"/>
    </xf>
    <xf numFmtId="0" fontId="21" fillId="31" borderId="0" xfId="0" applyFont="1" applyFill="1" applyAlignment="1">
      <alignment horizontal="center"/>
    </xf>
    <xf numFmtId="164" fontId="21" fillId="31" borderId="0" xfId="0" applyNumberFormat="1" applyFont="1" applyFill="1" applyAlignment="1">
      <alignment horizontal="center"/>
    </xf>
    <xf numFmtId="0" fontId="26" fillId="0" borderId="0" xfId="0" applyFont="1" applyAlignment="1">
      <alignment vertical="center" wrapText="1"/>
    </xf>
    <xf numFmtId="0" fontId="117" fillId="20" borderId="0" xfId="0" applyFont="1" applyFill="1"/>
    <xf numFmtId="0" fontId="118" fillId="0" borderId="0" xfId="0" applyFont="1"/>
    <xf numFmtId="3" fontId="0" fillId="0" borderId="85" xfId="0" applyNumberFormat="1" applyBorder="1" applyAlignment="1">
      <alignment horizontal="center"/>
    </xf>
    <xf numFmtId="3" fontId="103" fillId="22" borderId="85" xfId="0" applyNumberFormat="1" applyFont="1" applyFill="1" applyBorder="1" applyAlignment="1">
      <alignment horizontal="center"/>
    </xf>
    <xf numFmtId="164" fontId="116" fillId="32" borderId="100" xfId="0" applyNumberFormat="1" applyFont="1" applyFill="1" applyBorder="1" applyAlignment="1">
      <alignment horizontal="center"/>
    </xf>
    <xf numFmtId="3" fontId="0" fillId="0" borderId="88" xfId="0" applyNumberFormat="1" applyBorder="1" applyAlignment="1">
      <alignment horizontal="center"/>
    </xf>
    <xf numFmtId="0" fontId="116" fillId="32" borderId="101" xfId="0" applyFont="1" applyFill="1" applyBorder="1" applyAlignment="1">
      <alignment horizontal="center"/>
    </xf>
    <xf numFmtId="164" fontId="103" fillId="26" borderId="102" xfId="0" applyNumberFormat="1" applyFont="1" applyFill="1" applyBorder="1"/>
    <xf numFmtId="164" fontId="103" fillId="22" borderId="102" xfId="0" applyNumberFormat="1" applyFont="1" applyFill="1" applyBorder="1"/>
    <xf numFmtId="164" fontId="103" fillId="26" borderId="103" xfId="0" applyNumberFormat="1" applyFont="1" applyFill="1" applyBorder="1"/>
    <xf numFmtId="164" fontId="116" fillId="32" borderId="104" xfId="0" applyNumberFormat="1" applyFont="1" applyFill="1" applyBorder="1" applyAlignment="1">
      <alignment horizontal="center"/>
    </xf>
    <xf numFmtId="3" fontId="0" fillId="0" borderId="105" xfId="0" applyNumberFormat="1" applyBorder="1" applyAlignment="1">
      <alignment horizontal="center"/>
    </xf>
    <xf numFmtId="3" fontId="0" fillId="0" borderId="106" xfId="0" applyNumberFormat="1" applyBorder="1" applyAlignment="1">
      <alignment horizontal="center"/>
    </xf>
    <xf numFmtId="0" fontId="116" fillId="33" borderId="0" xfId="0" applyFont="1" applyFill="1"/>
    <xf numFmtId="0" fontId="103" fillId="26" borderId="0" xfId="0" applyFont="1" applyFill="1"/>
    <xf numFmtId="0" fontId="103" fillId="26" borderId="0" xfId="0" applyFont="1" applyFill="1" applyAlignment="1">
      <alignment horizontal="center"/>
    </xf>
    <xf numFmtId="10" fontId="104" fillId="0" borderId="0" xfId="0" applyNumberFormat="1" applyFont="1"/>
    <xf numFmtId="4" fontId="104" fillId="0" borderId="0" xfId="0" applyNumberFormat="1" applyFont="1"/>
    <xf numFmtId="2" fontId="104" fillId="0" borderId="0" xfId="0" applyNumberFormat="1" applyFont="1"/>
    <xf numFmtId="176" fontId="104" fillId="0" borderId="0" xfId="0" applyNumberFormat="1" applyFont="1"/>
    <xf numFmtId="176" fontId="37" fillId="0" borderId="0" xfId="0" applyNumberFormat="1" applyFont="1" applyAlignment="1">
      <alignment horizontal="center" vertical="center"/>
    </xf>
    <xf numFmtId="176" fontId="37" fillId="0" borderId="0" xfId="0" applyNumberFormat="1" applyFont="1" applyAlignment="1">
      <alignment horizontal="center"/>
    </xf>
    <xf numFmtId="10" fontId="20" fillId="0" borderId="21" xfId="0" applyNumberFormat="1" applyFont="1" applyBorder="1" applyAlignment="1">
      <alignment horizontal="center" vertical="center"/>
    </xf>
    <xf numFmtId="10" fontId="20" fillId="0" borderId="22" xfId="0" applyNumberFormat="1" applyFont="1" applyBorder="1" applyAlignment="1">
      <alignment horizontal="center" vertical="center"/>
    </xf>
    <xf numFmtId="0" fontId="119" fillId="0" borderId="29" xfId="0" applyFont="1" applyBorder="1" applyAlignment="1">
      <alignment vertical="center" wrapText="1"/>
    </xf>
    <xf numFmtId="10" fontId="120" fillId="22" borderId="30" xfId="0" applyNumberFormat="1" applyFont="1" applyFill="1" applyBorder="1" applyAlignment="1">
      <alignment horizontal="center" vertical="center"/>
    </xf>
    <xf numFmtId="4" fontId="20" fillId="14" borderId="24" xfId="0" applyNumberFormat="1" applyFont="1" applyFill="1" applyBorder="1" applyAlignment="1">
      <alignment horizontal="center" vertical="center"/>
    </xf>
    <xf numFmtId="4" fontId="20" fillId="14" borderId="25" xfId="0" applyNumberFormat="1" applyFont="1" applyFill="1" applyBorder="1" applyAlignment="1">
      <alignment horizontal="center" vertical="center"/>
    </xf>
    <xf numFmtId="0" fontId="30" fillId="33" borderId="0" xfId="0" applyFont="1" applyFill="1"/>
    <xf numFmtId="164" fontId="104" fillId="22" borderId="0" xfId="0" applyNumberFormat="1" applyFont="1" applyFill="1"/>
    <xf numFmtId="4" fontId="104" fillId="22" borderId="0" xfId="0" applyNumberFormat="1" applyFont="1" applyFill="1"/>
    <xf numFmtId="4" fontId="7" fillId="0" borderId="0" xfId="0" applyNumberFormat="1" applyFont="1" applyAlignment="1">
      <alignment horizontal="center" vertical="center"/>
    </xf>
    <xf numFmtId="192" fontId="20" fillId="0" borderId="0" xfId="0" applyNumberFormat="1" applyFont="1" applyAlignment="1">
      <alignment horizontal="center" vertical="center"/>
    </xf>
    <xf numFmtId="192" fontId="10" fillId="0" borderId="0" xfId="0" applyNumberFormat="1" applyFont="1" applyAlignment="1">
      <alignment horizontal="center" vertical="center"/>
    </xf>
    <xf numFmtId="190" fontId="104" fillId="22" borderId="0" xfId="0" applyNumberFormat="1" applyFont="1" applyFill="1" applyAlignment="1">
      <alignment horizontal="center"/>
    </xf>
    <xf numFmtId="0" fontId="42" fillId="2" borderId="0" xfId="0" applyFont="1" applyFill="1"/>
    <xf numFmtId="0" fontId="42" fillId="0" borderId="0" xfId="0" applyFont="1"/>
    <xf numFmtId="0" fontId="51" fillId="0" borderId="0" xfId="0" applyFont="1"/>
    <xf numFmtId="0" fontId="60" fillId="10" borderId="0" xfId="0" applyFont="1" applyFill="1"/>
    <xf numFmtId="0" fontId="42" fillId="2" borderId="0" xfId="0" applyFont="1" applyFill="1" applyAlignment="1">
      <alignment horizontal="center"/>
    </xf>
    <xf numFmtId="0" fontId="21" fillId="4" borderId="1" xfId="0" applyFont="1" applyFill="1" applyBorder="1" applyAlignment="1">
      <alignment horizontal="center"/>
    </xf>
    <xf numFmtId="0" fontId="48" fillId="15" borderId="0" xfId="0" applyFont="1" applyFill="1" applyAlignment="1">
      <alignment horizontal="center"/>
    </xf>
    <xf numFmtId="0" fontId="25" fillId="0" borderId="0" xfId="0" applyFont="1" applyAlignment="1">
      <alignment vertical="top" wrapText="1"/>
    </xf>
    <xf numFmtId="0" fontId="25" fillId="0" borderId="6" xfId="0" applyFont="1" applyBorder="1" applyAlignment="1">
      <alignment vertical="top" wrapText="1"/>
    </xf>
    <xf numFmtId="0" fontId="28" fillId="0" borderId="90" xfId="0" applyFont="1" applyBorder="1" applyAlignment="1">
      <alignment wrapText="1"/>
    </xf>
    <xf numFmtId="0" fontId="23" fillId="0" borderId="0" xfId="0" applyFont="1" applyAlignment="1">
      <alignment wrapText="1"/>
    </xf>
    <xf numFmtId="0" fontId="2" fillId="0" borderId="0" xfId="0" applyFont="1"/>
    <xf numFmtId="0" fontId="3" fillId="0" borderId="0" xfId="0" applyFont="1"/>
    <xf numFmtId="0" fontId="43" fillId="21" borderId="4" xfId="0" applyFont="1" applyFill="1" applyBorder="1" applyAlignment="1">
      <alignment horizontal="left" vertical="center" wrapText="1"/>
    </xf>
    <xf numFmtId="0" fontId="14" fillId="21" borderId="4" xfId="0" applyFont="1" applyFill="1" applyBorder="1" applyAlignment="1">
      <alignment horizontal="left" vertical="center" wrapText="1"/>
    </xf>
    <xf numFmtId="0" fontId="14" fillId="21" borderId="72" xfId="0" applyFont="1" applyFill="1" applyBorder="1" applyAlignment="1">
      <alignment horizontal="left" vertical="center" wrapText="1"/>
    </xf>
    <xf numFmtId="0" fontId="43" fillId="21" borderId="71" xfId="0" applyFont="1" applyFill="1" applyBorder="1" applyAlignment="1">
      <alignment horizontal="left" vertical="center" wrapText="1"/>
    </xf>
    <xf numFmtId="0" fontId="12" fillId="21" borderId="71" xfId="0" applyFont="1" applyFill="1" applyBorder="1" applyAlignment="1">
      <alignment horizontal="left" vertical="center" wrapText="1"/>
    </xf>
    <xf numFmtId="0" fontId="12" fillId="21" borderId="75" xfId="0" applyFont="1" applyFill="1" applyBorder="1" applyAlignment="1">
      <alignment horizontal="left" vertical="center" wrapText="1"/>
    </xf>
    <xf numFmtId="0" fontId="21" fillId="21" borderId="71" xfId="0" applyFont="1" applyFill="1" applyBorder="1" applyAlignment="1">
      <alignment horizontal="left" vertical="center" wrapText="1"/>
    </xf>
    <xf numFmtId="0" fontId="42" fillId="0" borderId="0" xfId="0" applyFont="1" applyAlignment="1">
      <alignment vertical="center"/>
    </xf>
    <xf numFmtId="0" fontId="28" fillId="0" borderId="0" xfId="0" applyFont="1" applyAlignment="1">
      <alignment vertical="center"/>
    </xf>
    <xf numFmtId="0" fontId="21" fillId="0" borderId="0" xfId="0" applyFont="1" applyAlignment="1">
      <alignment vertical="center"/>
    </xf>
    <xf numFmtId="0" fontId="40" fillId="0" borderId="0" xfId="0" applyFont="1" applyAlignment="1">
      <alignment vertical="center"/>
    </xf>
    <xf numFmtId="0" fontId="21" fillId="21" borderId="0" xfId="0" applyFont="1" applyFill="1"/>
    <xf numFmtId="0" fontId="21" fillId="21" borderId="0" xfId="0" applyFont="1" applyFill="1" applyAlignment="1">
      <alignment horizontal="center"/>
    </xf>
    <xf numFmtId="0" fontId="101" fillId="0" borderId="0" xfId="0" applyFont="1" applyAlignment="1">
      <alignment wrapText="1"/>
    </xf>
  </cellXfs>
  <cellStyles count="3">
    <cellStyle name="Hyperlink" xfId="1" builtinId="8"/>
    <cellStyle name="Normal" xfId="0" builtinId="0"/>
    <cellStyle name="Percent" xfId="2" builtinId="5"/>
  </cellStyles>
  <dxfs count="12">
    <dxf>
      <font>
        <color rgb="FF9C0006"/>
      </font>
      <fill>
        <patternFill>
          <bgColor rgb="FFFFC7CE"/>
        </patternFill>
      </fill>
    </dxf>
    <dxf>
      <font>
        <color rgb="FF006100"/>
      </font>
      <fill>
        <patternFill>
          <bgColor rgb="FFC6EFCE"/>
        </patternFill>
      </fill>
    </dxf>
    <dxf>
      <font>
        <color rgb="FFFF0000"/>
      </font>
      <fill>
        <patternFill>
          <bgColor rgb="FFFFC7CE"/>
        </patternFill>
      </fill>
    </dxf>
    <dxf>
      <font>
        <color rgb="FFFF0000"/>
      </font>
      <fill>
        <patternFill>
          <bgColor rgb="FFFFC7CE"/>
        </patternFill>
      </fill>
    </dxf>
    <dxf>
      <font>
        <color rgb="FF9C0006"/>
      </font>
      <fill>
        <patternFill>
          <bgColor rgb="FFFFC7CE"/>
        </patternFill>
      </fill>
    </dxf>
    <dxf>
      <font>
        <color rgb="FF006100"/>
      </font>
      <fill>
        <patternFill>
          <bgColor rgb="FFC6EFCE"/>
        </patternFill>
      </fill>
    </dxf>
    <dxf>
      <font>
        <color rgb="FFFFFFFF"/>
      </font>
      <fill>
        <patternFill>
          <bgColor rgb="FFFF0000"/>
        </patternFill>
      </fill>
    </dxf>
    <dxf>
      <font>
        <color rgb="FFFFFFFF"/>
      </font>
      <fill>
        <patternFill>
          <bgColor rgb="FF70AD47"/>
        </patternFill>
      </fill>
    </dxf>
    <dxf>
      <font>
        <color rgb="FFFFFFFF"/>
      </font>
      <fill>
        <patternFill>
          <bgColor rgb="FFFF0000"/>
        </patternFill>
      </fill>
    </dxf>
    <dxf>
      <font>
        <color rgb="FFFFFFFF"/>
      </font>
      <fill>
        <patternFill>
          <bgColor rgb="FF70AD47"/>
        </patternFill>
      </fill>
    </dxf>
    <dxf>
      <font>
        <color rgb="FFFFFFFF"/>
      </font>
      <fill>
        <patternFill>
          <bgColor rgb="FFFF0000"/>
        </patternFill>
      </fill>
    </dxf>
    <dxf>
      <font>
        <color rgb="FFFFFFFF"/>
      </font>
      <fill>
        <patternFill>
          <bgColor rgb="FF70AD47"/>
        </patternFill>
      </fill>
    </dxf>
  </dxfs>
  <tableStyles count="0" defaultTableStyle="TableStyleMedium2" defaultPivotStyle="PivotStyleLight16"/>
  <colors>
    <indexedColors>
      <rgbColor rgb="FF000000"/>
      <rgbColor rgb="FFFFFFFF"/>
      <rgbColor rgb="FFFF0000"/>
      <rgbColor rgb="FFFCE4EC"/>
      <rgbColor rgb="FF0000FF"/>
      <rgbColor rgb="FFFFFF00"/>
      <rgbColor rgb="FFFF00FF"/>
      <rgbColor rgb="FFE7E6E6"/>
      <rgbColor rgb="FF9C0006"/>
      <rgbColor rgb="FF008000"/>
      <rgbColor rgb="FF1F4E78"/>
      <rgbColor rgb="FF548235"/>
      <rgbColor rgb="FF800080"/>
      <rgbColor rgb="FF2E75B6"/>
      <rgbColor rgb="FFB4B4B4"/>
      <rgbColor rgb="FF808080"/>
      <rgbColor rgb="FFA5A5A5"/>
      <rgbColor rgb="FF595959"/>
      <rgbColor rgb="FFFFF2CC"/>
      <rgbColor rgb="FFDEEBF7"/>
      <rgbColor rgb="FF660066"/>
      <rgbColor rgb="FFED7D31"/>
      <rgbColor rgb="FF0070C0"/>
      <rgbColor rgb="FFD0D0D0"/>
      <rgbColor rgb="FF000080"/>
      <rgbColor rgb="FFFF00FF"/>
      <rgbColor rgb="FFE2EFDA"/>
      <rgbColor rgb="FFF2F7FB"/>
      <rgbColor rgb="FF800080"/>
      <rgbColor rgb="FFC00000"/>
      <rgbColor rgb="FF1F4E79"/>
      <rgbColor rgb="FF0000FF"/>
      <rgbColor rgb="FFF2F2F2"/>
      <rgbColor rgb="FFDAE9F8"/>
      <rgbColor rgb="FFC6EFCE"/>
      <rgbColor rgb="FFFFFF99"/>
      <rgbColor rgb="FFB3B3B3"/>
      <rgbColor rgb="FFD9D9D9"/>
      <rgbColor rgb="FFA6A6A6"/>
      <rgbColor rgb="FFFFC7CE"/>
      <rgbColor rgb="FF4472C4"/>
      <rgbColor rgb="FFD9E1F2"/>
      <rgbColor rgb="FFD6E4F0"/>
      <rgbColor rgb="FFFFD700"/>
      <rgbColor rgb="FFFFC000"/>
      <rgbColor rgb="FFE86715"/>
      <rgbColor rgb="FF666666"/>
      <rgbColor rgb="FF999999"/>
      <rgbColor rgb="FF1F3864"/>
      <rgbColor rgb="FF70AD47"/>
      <rgbColor rgb="FF006100"/>
      <rgbColor rgb="FF404040"/>
      <rgbColor rgb="FF993300"/>
      <rgbColor rgb="FF444444"/>
      <rgbColor rgb="FF2F5496"/>
      <rgbColor rgb="FF333333"/>
      <rgbColor rgb="00003366"/>
      <rgbColor rgb="00339966"/>
      <rgbColor rgb="00003300"/>
      <rgbColor rgb="00333300"/>
      <rgbColor rgb="00993300"/>
      <rgbColor rgb="00993366"/>
      <rgbColor rgb="00333399"/>
      <rgbColor rgb="00333333"/>
    </indexedColors>
    <mruColors>
      <color rgb="FF030A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100" b="1" strike="noStrike" spc="-1">
                <a:solidFill>
                  <a:srgbClr val="1F3864"/>
                </a:solidFill>
                <a:latin typeface="Aptos Narrow"/>
              </a:defRPr>
            </a:pPr>
            <a:r>
              <a:rPr lang="en-US" sz="1100" b="1" strike="noStrike" spc="-1">
                <a:solidFill>
                  <a:srgbClr val="1F3864"/>
                </a:solidFill>
                <a:latin typeface="Aptos Narrow"/>
              </a:rPr>
              <a:t>Revenue &amp; YoY Growth</a:t>
            </a:r>
          </a:p>
        </c:rich>
      </c:tx>
      <c:overlay val="0"/>
      <c:spPr>
        <a:noFill/>
        <a:ln w="0">
          <a:noFill/>
        </a:ln>
      </c:spPr>
    </c:title>
    <c:autoTitleDeleted val="0"/>
    <c:plotArea>
      <c:layout/>
      <c:barChart>
        <c:barDir val="col"/>
        <c:grouping val="clustered"/>
        <c:varyColors val="0"/>
        <c:ser>
          <c:idx val="0"/>
          <c:order val="0"/>
          <c:tx>
            <c:v>Revenue (₹ Cr)</c:v>
          </c:tx>
          <c:spPr>
            <a:solidFill>
              <a:srgbClr val="2E75B6"/>
            </a:solidFill>
            <a:ln w="0">
              <a:noFill/>
            </a:ln>
          </c:spPr>
          <c:invertIfNegative val="0"/>
          <c:dLbls>
            <c:spPr>
              <a:noFill/>
              <a:ln>
                <a:noFill/>
              </a:ln>
              <a:effectLst/>
            </c:spPr>
            <c:txPr>
              <a:bodyPr wrap="square"/>
              <a:lstStyle/>
              <a:p>
                <a:pPr>
                  <a:defRPr sz="800" b="1" strike="noStrike" spc="-1">
                    <a:solidFill>
                      <a:srgbClr val="1F3864"/>
                    </a:solidFill>
                    <a:latin typeface="Aptos Narrow"/>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Dashboard!$C$57:$L$57</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Dashboard!$C$58:$L$58</c:f>
              <c:numCache>
                <c:formatCode>#,##0</c:formatCode>
                <c:ptCount val="10"/>
                <c:pt idx="0">
                  <c:v>1572.8000000000002</c:v>
                </c:pt>
                <c:pt idx="1">
                  <c:v>1871.3300000000002</c:v>
                </c:pt>
                <c:pt idx="2">
                  <c:v>2081.1111165727916</c:v>
                </c:pt>
                <c:pt idx="3">
                  <c:v>2195.6110965727921</c:v>
                </c:pt>
                <c:pt idx="4">
                  <c:v>2195.6110965727921</c:v>
                </c:pt>
                <c:pt idx="5">
                  <c:v>2195.6110965727921</c:v>
                </c:pt>
                <c:pt idx="6">
                  <c:v>2195.6110965727921</c:v>
                </c:pt>
                <c:pt idx="7">
                  <c:v>2195.6110965727921</c:v>
                </c:pt>
                <c:pt idx="8">
                  <c:v>2195.6110965727921</c:v>
                </c:pt>
                <c:pt idx="9">
                  <c:v>2195.6110965727921</c:v>
                </c:pt>
              </c:numCache>
            </c:numRef>
          </c:val>
          <c:extLst>
            <c:ext xmlns:c16="http://schemas.microsoft.com/office/drawing/2014/chart" uri="{C3380CC4-5D6E-409C-BE32-E72D297353CC}">
              <c16:uniqueId val="{00000000-1A20-4F82-AC97-57AEF03B6717}"/>
            </c:ext>
          </c:extLst>
        </c:ser>
        <c:dLbls>
          <c:showLegendKey val="0"/>
          <c:showVal val="0"/>
          <c:showCatName val="0"/>
          <c:showSerName val="0"/>
          <c:showPercent val="0"/>
          <c:showBubbleSize val="0"/>
        </c:dLbls>
        <c:gapWidth val="219"/>
        <c:overlap val="-27"/>
        <c:axId val="59715274"/>
        <c:axId val="94602670"/>
      </c:barChart>
      <c:lineChart>
        <c:grouping val="standard"/>
        <c:varyColors val="0"/>
        <c:ser>
          <c:idx val="1"/>
          <c:order val="1"/>
          <c:tx>
            <c:v>YoY Growth (%)</c:v>
          </c:tx>
          <c:spPr>
            <a:ln w="28440" cap="rnd">
              <a:solidFill>
                <a:srgbClr val="E86715"/>
              </a:solidFill>
              <a:round/>
            </a:ln>
          </c:spPr>
          <c:marker>
            <c:symbol val="none"/>
          </c:marker>
          <c:dLbls>
            <c:spPr>
              <a:noFill/>
              <a:ln>
                <a:noFill/>
              </a:ln>
              <a:effectLst/>
            </c:spPr>
            <c:txPr>
              <a:bodyPr wrap="square"/>
              <a:lstStyle/>
              <a:p>
                <a:pPr>
                  <a:defRPr sz="800" b="1" strike="noStrike" spc="-1">
                    <a:solidFill>
                      <a:srgbClr val="E86715"/>
                    </a:solidFill>
                    <a:latin typeface="Aptos Narrow"/>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Dashboard!$C$57:$L$57</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Dashboard!$C$59:$L$59</c:f>
              <c:numCache>
                <c:formatCode>0.0%</c:formatCode>
                <c:ptCount val="10"/>
                <c:pt idx="1">
                  <c:v>0.18980798575788399</c:v>
                </c:pt>
                <c:pt idx="2">
                  <c:v>0.11210268449327027</c:v>
                </c:pt>
                <c:pt idx="3">
                  <c:v>5.5018676844396937E-2</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1A20-4F82-AC97-57AEF03B6717}"/>
            </c:ext>
          </c:extLst>
        </c:ser>
        <c:dLbls>
          <c:showLegendKey val="0"/>
          <c:showVal val="0"/>
          <c:showCatName val="0"/>
          <c:showSerName val="0"/>
          <c:showPercent val="0"/>
          <c:showBubbleSize val="0"/>
        </c:dLbls>
        <c:hiLowLines>
          <c:spPr>
            <a:ln w="0">
              <a:noFill/>
            </a:ln>
          </c:spPr>
        </c:hiLowLines>
        <c:marker val="1"/>
        <c:smooth val="0"/>
        <c:axId val="44188483"/>
        <c:axId val="34722558"/>
      </c:lineChart>
      <c:catAx>
        <c:axId val="5971527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333333"/>
                </a:solidFill>
                <a:latin typeface="Aptos Narrow"/>
              </a:defRPr>
            </a:pPr>
            <a:endParaRPr lang="en-US"/>
          </a:p>
        </c:txPr>
        <c:crossAx val="94602670"/>
        <c:crosses val="autoZero"/>
        <c:auto val="1"/>
        <c:lblAlgn val="ctr"/>
        <c:lblOffset val="100"/>
        <c:noMultiLvlLbl val="0"/>
      </c:catAx>
      <c:valAx>
        <c:axId val="94602670"/>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sz="800" b="0" strike="noStrike" spc="-1">
                <a:solidFill>
                  <a:srgbClr val="808080"/>
                </a:solidFill>
                <a:latin typeface="Aptos Narrow"/>
              </a:defRPr>
            </a:pPr>
            <a:endParaRPr lang="en-US"/>
          </a:p>
        </c:txPr>
        <c:crossAx val="59715274"/>
        <c:crosses val="autoZero"/>
        <c:crossBetween val="between"/>
      </c:valAx>
      <c:catAx>
        <c:axId val="44188483"/>
        <c:scaling>
          <c:orientation val="minMax"/>
        </c:scaling>
        <c:delete val="1"/>
        <c:axPos val="b"/>
        <c:numFmt formatCode="General" sourceLinked="1"/>
        <c:majorTickMark val="out"/>
        <c:minorTickMark val="none"/>
        <c:tickLblPos val="nextTo"/>
        <c:crossAx val="34722558"/>
        <c:crosses val="autoZero"/>
        <c:auto val="1"/>
        <c:lblAlgn val="ctr"/>
        <c:lblOffset val="100"/>
        <c:noMultiLvlLbl val="0"/>
      </c:catAx>
      <c:valAx>
        <c:axId val="34722558"/>
        <c:scaling>
          <c:orientation val="minMax"/>
          <c:max val="0.45"/>
          <c:min val="0"/>
        </c:scaling>
        <c:delete val="0"/>
        <c:axPos val="r"/>
        <c:numFmt formatCode="0%" sourceLinked="0"/>
        <c:majorTickMark val="out"/>
        <c:minorTickMark val="none"/>
        <c:tickLblPos val="nextTo"/>
        <c:spPr>
          <a:ln w="12600">
            <a:noFill/>
          </a:ln>
        </c:spPr>
        <c:txPr>
          <a:bodyPr/>
          <a:lstStyle/>
          <a:p>
            <a:pPr>
              <a:defRPr sz="900" b="0" strike="noStrike" spc="-1">
                <a:solidFill>
                  <a:srgbClr val="E86715"/>
                </a:solidFill>
                <a:latin typeface="Aptos Narrow"/>
              </a:defRPr>
            </a:pPr>
            <a:endParaRPr lang="en-US"/>
          </a:p>
        </c:txPr>
        <c:crossAx val="44188483"/>
        <c:crosses val="max"/>
        <c:crossBetween val="between"/>
        <c:majorUnit val="0.1"/>
      </c:valAx>
      <c:spPr>
        <a:noFill/>
        <a:ln w="0">
          <a:noFill/>
        </a:ln>
      </c:spPr>
    </c:plotArea>
    <c:legend>
      <c:legendPos val="b"/>
      <c:overlay val="0"/>
      <c:spPr>
        <a:noFill/>
        <a:ln w="0">
          <a:noFill/>
        </a:ln>
      </c:spPr>
      <c:txPr>
        <a:bodyPr/>
        <a:lstStyle/>
        <a:p>
          <a:pPr>
            <a:defRPr sz="8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100" b="1" strike="noStrike" spc="-1">
                <a:solidFill>
                  <a:srgbClr val="1F3864"/>
                </a:solidFill>
                <a:latin typeface="Aptos Narrow"/>
              </a:defRPr>
            </a:pPr>
            <a:r>
              <a:rPr lang="en-US" sz="1100" b="1" strike="noStrike" spc="-1">
                <a:solidFill>
                  <a:srgbClr val="1F3864"/>
                </a:solidFill>
                <a:latin typeface="Aptos Narrow"/>
              </a:rPr>
              <a:t>Margin Expansion Trend</a:t>
            </a:r>
          </a:p>
        </c:rich>
      </c:tx>
      <c:overlay val="0"/>
      <c:spPr>
        <a:noFill/>
        <a:ln w="0">
          <a:noFill/>
        </a:ln>
      </c:spPr>
    </c:title>
    <c:autoTitleDeleted val="0"/>
    <c:plotArea>
      <c:layout/>
      <c:lineChart>
        <c:grouping val="standard"/>
        <c:varyColors val="0"/>
        <c:ser>
          <c:idx val="0"/>
          <c:order val="0"/>
          <c:tx>
            <c:v>Gross Margin</c:v>
          </c:tx>
          <c:spPr>
            <a:ln w="28440" cap="rnd">
              <a:solidFill>
                <a:srgbClr val="2E75B6"/>
              </a:solidFill>
              <a:round/>
            </a:ln>
          </c:spPr>
          <c:marker>
            <c:symbol val="circle"/>
            <c:size val="5"/>
            <c:spPr>
              <a:solidFill>
                <a:srgbClr val="2E75B6"/>
              </a:solidFill>
            </c:spPr>
          </c:marker>
          <c:dLbls>
            <c:numFmt formatCode="0.0%" sourceLinked="0"/>
            <c:spPr>
              <a:noFill/>
              <a:ln>
                <a:noFill/>
              </a:ln>
              <a:effectLst/>
            </c:spPr>
            <c:txPr>
              <a:bodyPr wrap="square"/>
              <a:lstStyle/>
              <a:p>
                <a:pPr>
                  <a:defRPr sz="700" b="0" strike="noStrike" spc="-1">
                    <a:solidFill>
                      <a:srgbClr val="2E75B6"/>
                    </a:solidFill>
                    <a:latin typeface="Aptos Narrow"/>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Dashboard!$C$63:$L$63</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Dashboard!$C$64:$L$64</c:f>
              <c:numCache>
                <c:formatCode>0.0%</c:formatCode>
                <c:ptCount val="10"/>
                <c:pt idx="0">
                  <c:v>0.15022889114954205</c:v>
                </c:pt>
                <c:pt idx="1">
                  <c:v>0.15809076966649394</c:v>
                </c:pt>
                <c:pt idx="2">
                  <c:v>0.22917245056367208</c:v>
                </c:pt>
                <c:pt idx="3">
                  <c:v>0.2107687053828334</c:v>
                </c:pt>
                <c:pt idx="4">
                  <c:v>0.21276870538283335</c:v>
                </c:pt>
                <c:pt idx="5">
                  <c:v>0.21476870538283341</c:v>
                </c:pt>
                <c:pt idx="6">
                  <c:v>0.21476870538283341</c:v>
                </c:pt>
                <c:pt idx="7">
                  <c:v>0.21476870538283341</c:v>
                </c:pt>
                <c:pt idx="8">
                  <c:v>0.21476870538283341</c:v>
                </c:pt>
                <c:pt idx="9">
                  <c:v>0.21476870538283341</c:v>
                </c:pt>
              </c:numCache>
            </c:numRef>
          </c:val>
          <c:smooth val="0"/>
          <c:extLst>
            <c:ext xmlns:c16="http://schemas.microsoft.com/office/drawing/2014/chart" uri="{C3380CC4-5D6E-409C-BE32-E72D297353CC}">
              <c16:uniqueId val="{00000000-5661-44F5-880C-187B072751DC}"/>
            </c:ext>
          </c:extLst>
        </c:ser>
        <c:ser>
          <c:idx val="1"/>
          <c:order val="1"/>
          <c:tx>
            <c:v>EBITDA Margin</c:v>
          </c:tx>
          <c:spPr>
            <a:ln w="28440" cap="rnd">
              <a:solidFill>
                <a:srgbClr val="E86715"/>
              </a:solidFill>
              <a:round/>
            </a:ln>
          </c:spPr>
          <c:marker>
            <c:symbol val="circle"/>
            <c:size val="5"/>
            <c:spPr>
              <a:solidFill>
                <a:srgbClr val="E86715"/>
              </a:solidFill>
            </c:spPr>
          </c:marker>
          <c:dLbls>
            <c:numFmt formatCode="0.0%" sourceLinked="0"/>
            <c:spPr>
              <a:noFill/>
              <a:ln>
                <a:noFill/>
              </a:ln>
              <a:effectLst/>
            </c:spPr>
            <c:txPr>
              <a:bodyPr wrap="square"/>
              <a:lstStyle/>
              <a:p>
                <a:pPr>
                  <a:defRPr sz="700" b="0" strike="noStrike" spc="-1">
                    <a:solidFill>
                      <a:srgbClr val="E86715"/>
                    </a:solidFill>
                    <a:latin typeface="Aptos Narrow"/>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Dashboard!$C$63:$L$63</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Dashboard!$C$65:$L$65</c:f>
              <c:numCache>
                <c:formatCode>0.0%</c:formatCode>
                <c:ptCount val="10"/>
                <c:pt idx="0">
                  <c:v>0.10350966429298049</c:v>
                </c:pt>
                <c:pt idx="1">
                  <c:v>0.10711098523510022</c:v>
                </c:pt>
                <c:pt idx="2">
                  <c:v>0.18247245056367206</c:v>
                </c:pt>
                <c:pt idx="3">
                  <c:v>0.16406870538283339</c:v>
                </c:pt>
                <c:pt idx="4">
                  <c:v>0.16606870538283336</c:v>
                </c:pt>
                <c:pt idx="5">
                  <c:v>0.16806870538283342</c:v>
                </c:pt>
                <c:pt idx="6">
                  <c:v>0.16806870538283342</c:v>
                </c:pt>
                <c:pt idx="7">
                  <c:v>0.16806870538283342</c:v>
                </c:pt>
                <c:pt idx="8">
                  <c:v>0.16806870538283342</c:v>
                </c:pt>
                <c:pt idx="9">
                  <c:v>0.16806870538283342</c:v>
                </c:pt>
              </c:numCache>
            </c:numRef>
          </c:val>
          <c:smooth val="0"/>
          <c:extLst>
            <c:ext xmlns:c16="http://schemas.microsoft.com/office/drawing/2014/chart" uri="{C3380CC4-5D6E-409C-BE32-E72D297353CC}">
              <c16:uniqueId val="{00000001-5661-44F5-880C-187B072751DC}"/>
            </c:ext>
          </c:extLst>
        </c:ser>
        <c:ser>
          <c:idx val="2"/>
          <c:order val="2"/>
          <c:tx>
            <c:v>Net Margin</c:v>
          </c:tx>
          <c:spPr>
            <a:ln w="28440" cap="rnd">
              <a:solidFill>
                <a:srgbClr val="548235"/>
              </a:solidFill>
              <a:round/>
            </a:ln>
          </c:spPr>
          <c:marker>
            <c:symbol val="triangle"/>
            <c:size val="5"/>
            <c:spPr>
              <a:solidFill>
                <a:srgbClr val="548235"/>
              </a:solidFill>
            </c:spPr>
          </c:marker>
          <c:dLbls>
            <c:numFmt formatCode="0.0%" sourceLinked="0"/>
            <c:spPr>
              <a:noFill/>
              <a:ln>
                <a:noFill/>
              </a:ln>
              <a:effectLst/>
            </c:spPr>
            <c:txPr>
              <a:bodyPr wrap="square"/>
              <a:lstStyle/>
              <a:p>
                <a:pPr>
                  <a:defRPr sz="700" b="0" strike="noStrike" spc="-1">
                    <a:solidFill>
                      <a:srgbClr val="548235"/>
                    </a:solidFill>
                    <a:latin typeface="Aptos Narrow"/>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Dashboard!$C$63:$L$63</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Dashboard!$C$66:$L$66</c:f>
              <c:numCache>
                <c:formatCode>0.0%</c:formatCode>
                <c:ptCount val="10"/>
                <c:pt idx="0">
                  <c:v>6.0967700915564423E-2</c:v>
                </c:pt>
                <c:pt idx="1">
                  <c:v>6.123986683268056E-2</c:v>
                </c:pt>
                <c:pt idx="2">
                  <c:v>0.10850486302641663</c:v>
                </c:pt>
                <c:pt idx="3">
                  <c:v>9.098884398843099E-2</c:v>
                </c:pt>
                <c:pt idx="4">
                  <c:v>9.5803008186005248E-2</c:v>
                </c:pt>
                <c:pt idx="5">
                  <c:v>9.8296639376750108E-2</c:v>
                </c:pt>
                <c:pt idx="6">
                  <c:v>9.9232053864238362E-2</c:v>
                </c:pt>
                <c:pt idx="7">
                  <c:v>0.10015162897227617</c:v>
                </c:pt>
                <c:pt idx="8">
                  <c:v>0.1010596848876591</c:v>
                </c:pt>
                <c:pt idx="9">
                  <c:v>0.10195593363057083</c:v>
                </c:pt>
              </c:numCache>
            </c:numRef>
          </c:val>
          <c:smooth val="0"/>
          <c:extLst>
            <c:ext xmlns:c16="http://schemas.microsoft.com/office/drawing/2014/chart" uri="{C3380CC4-5D6E-409C-BE32-E72D297353CC}">
              <c16:uniqueId val="{00000002-5661-44F5-880C-187B072751DC}"/>
            </c:ext>
          </c:extLst>
        </c:ser>
        <c:dLbls>
          <c:showLegendKey val="0"/>
          <c:showVal val="0"/>
          <c:showCatName val="0"/>
          <c:showSerName val="0"/>
          <c:showPercent val="0"/>
          <c:showBubbleSize val="0"/>
        </c:dLbls>
        <c:hiLowLines>
          <c:spPr>
            <a:ln w="0">
              <a:noFill/>
            </a:ln>
          </c:spPr>
        </c:hiLowLines>
        <c:marker val="1"/>
        <c:smooth val="0"/>
        <c:axId val="82852132"/>
        <c:axId val="22151970"/>
      </c:lineChart>
      <c:catAx>
        <c:axId val="8285213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333333"/>
                </a:solidFill>
                <a:latin typeface="Aptos Narrow"/>
              </a:defRPr>
            </a:pPr>
            <a:endParaRPr lang="en-US"/>
          </a:p>
        </c:txPr>
        <c:crossAx val="22151970"/>
        <c:crosses val="autoZero"/>
        <c:auto val="1"/>
        <c:lblAlgn val="ctr"/>
        <c:lblOffset val="100"/>
        <c:noMultiLvlLbl val="0"/>
      </c:catAx>
      <c:valAx>
        <c:axId val="22151970"/>
        <c:scaling>
          <c:orientation val="minMax"/>
          <c:min val="0"/>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sz="800" b="0" strike="noStrike" spc="-1">
                <a:solidFill>
                  <a:srgbClr val="808080"/>
                </a:solidFill>
                <a:latin typeface="Aptos Narrow"/>
              </a:defRPr>
            </a:pPr>
            <a:endParaRPr lang="en-US"/>
          </a:p>
        </c:txPr>
        <c:crossAx val="82852132"/>
        <c:crosses val="autoZero"/>
        <c:crossBetween val="between"/>
      </c:valAx>
      <c:spPr>
        <a:noFill/>
        <a:ln w="0">
          <a:noFill/>
        </a:ln>
      </c:spPr>
    </c:plotArea>
    <c:legend>
      <c:legendPos val="b"/>
      <c:overlay val="0"/>
      <c:spPr>
        <a:noFill/>
        <a:ln w="0">
          <a:noFill/>
        </a:ln>
      </c:spPr>
      <c:txPr>
        <a:bodyPr/>
        <a:lstStyle/>
        <a:p>
          <a:pPr>
            <a:defRPr sz="7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100" b="1" strike="noStrike" spc="-1">
                <a:solidFill>
                  <a:srgbClr val="1F3864"/>
                </a:solidFill>
                <a:latin typeface="Aptos Narrow"/>
              </a:defRPr>
            </a:pPr>
            <a:r>
              <a:rPr lang="en-US" sz="1100" b="1" strike="noStrike" spc="-1">
                <a:solidFill>
                  <a:srgbClr val="1F3864"/>
                </a:solidFill>
                <a:latin typeface="Aptos Narrow"/>
              </a:rPr>
              <a:t>Deleveraging: Debt vs. Cash</a:t>
            </a:r>
          </a:p>
        </c:rich>
      </c:tx>
      <c:overlay val="0"/>
      <c:spPr>
        <a:noFill/>
        <a:ln w="0">
          <a:noFill/>
        </a:ln>
      </c:spPr>
    </c:title>
    <c:autoTitleDeleted val="0"/>
    <c:plotArea>
      <c:layout/>
      <c:barChart>
        <c:barDir val="col"/>
        <c:grouping val="clustered"/>
        <c:varyColors val="0"/>
        <c:ser>
          <c:idx val="0"/>
          <c:order val="0"/>
          <c:tx>
            <c:v>Total Debt</c:v>
          </c:tx>
          <c:spPr>
            <a:solidFill>
              <a:srgbClr val="C00000"/>
            </a:solidFill>
            <a:ln w="0">
              <a:noFill/>
            </a:ln>
          </c:spPr>
          <c:invertIfNegative val="0"/>
          <c:dLbls>
            <c:spPr>
              <a:noFill/>
              <a:ln>
                <a:noFill/>
              </a:ln>
              <a:effectLst/>
            </c:spPr>
            <c:txPr>
              <a:bodyPr wrap="square"/>
              <a:lstStyle/>
              <a:p>
                <a:pPr>
                  <a:defRPr sz="800" b="1" strike="noStrike" spc="-1">
                    <a:solidFill>
                      <a:srgbClr val="C00000"/>
                    </a:solidFill>
                    <a:latin typeface="Aptos Narrow"/>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Dashboard!$C$70:$L$70</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Dashboard!$C$71:$L$71</c:f>
              <c:numCache>
                <c:formatCode>#,##0.0</c:formatCode>
                <c:ptCount val="10"/>
                <c:pt idx="0">
                  <c:v>324.82</c:v>
                </c:pt>
                <c:pt idx="1">
                  <c:v>545.81999999999994</c:v>
                </c:pt>
                <c:pt idx="2">
                  <c:v>613.09999999999991</c:v>
                </c:pt>
                <c:pt idx="3">
                  <c:v>419.118709056135</c:v>
                </c:pt>
                <c:pt idx="4">
                  <c:v>351.79999999999995</c:v>
                </c:pt>
                <c:pt idx="5">
                  <c:v>306.49999999999994</c:v>
                </c:pt>
                <c:pt idx="6">
                  <c:v>261.49999999999994</c:v>
                </c:pt>
                <c:pt idx="7">
                  <c:v>216.49999999999994</c:v>
                </c:pt>
                <c:pt idx="8">
                  <c:v>171.49999999999994</c:v>
                </c:pt>
                <c:pt idx="9">
                  <c:v>126.49999999999996</c:v>
                </c:pt>
              </c:numCache>
            </c:numRef>
          </c:val>
          <c:extLst>
            <c:ext xmlns:c16="http://schemas.microsoft.com/office/drawing/2014/chart" uri="{C3380CC4-5D6E-409C-BE32-E72D297353CC}">
              <c16:uniqueId val="{00000000-C738-451E-B40E-E158B73B36E3}"/>
            </c:ext>
          </c:extLst>
        </c:ser>
        <c:ser>
          <c:idx val="1"/>
          <c:order val="1"/>
          <c:tx>
            <c:v>Cash &amp; Bank Balance</c:v>
          </c:tx>
          <c:spPr>
            <a:solidFill>
              <a:srgbClr val="548235"/>
            </a:solidFill>
            <a:ln w="0">
              <a:noFill/>
            </a:ln>
          </c:spPr>
          <c:invertIfNegative val="0"/>
          <c:dLbls>
            <c:spPr>
              <a:noFill/>
              <a:ln>
                <a:noFill/>
              </a:ln>
              <a:effectLst/>
            </c:spPr>
            <c:txPr>
              <a:bodyPr wrap="square"/>
              <a:lstStyle/>
              <a:p>
                <a:pPr>
                  <a:defRPr sz="800" b="1" strike="noStrike" spc="-1">
                    <a:solidFill>
                      <a:srgbClr val="548235"/>
                    </a:solidFill>
                    <a:latin typeface="Aptos Narrow"/>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Dashboard!$C$70:$L$70</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Dashboard!$C$72:$L$72</c:f>
              <c:numCache>
                <c:formatCode>#,##0.0</c:formatCode>
                <c:ptCount val="10"/>
                <c:pt idx="0">
                  <c:v>74.8</c:v>
                </c:pt>
                <c:pt idx="1">
                  <c:v>210.18</c:v>
                </c:pt>
                <c:pt idx="2">
                  <c:v>32.122825181633118</c:v>
                </c:pt>
                <c:pt idx="3">
                  <c:v>20</c:v>
                </c:pt>
                <c:pt idx="4">
                  <c:v>298.26035540516528</c:v>
                </c:pt>
                <c:pt idx="5">
                  <c:v>447.28283810950688</c:v>
                </c:pt>
                <c:pt idx="6">
                  <c:v>591.82164547764239</c:v>
                </c:pt>
                <c:pt idx="7">
                  <c:v>734.66563800794097</c:v>
                </c:pt>
                <c:pt idx="8">
                  <c:v>856.93983822731923</c:v>
                </c:pt>
                <c:pt idx="9">
                  <c:v>980.69601148192726</c:v>
                </c:pt>
              </c:numCache>
            </c:numRef>
          </c:val>
          <c:extLst>
            <c:ext xmlns:c16="http://schemas.microsoft.com/office/drawing/2014/chart" uri="{C3380CC4-5D6E-409C-BE32-E72D297353CC}">
              <c16:uniqueId val="{00000001-C738-451E-B40E-E158B73B36E3}"/>
            </c:ext>
          </c:extLst>
        </c:ser>
        <c:dLbls>
          <c:showLegendKey val="0"/>
          <c:showVal val="0"/>
          <c:showCatName val="0"/>
          <c:showSerName val="0"/>
          <c:showPercent val="0"/>
          <c:showBubbleSize val="0"/>
        </c:dLbls>
        <c:gapWidth val="219"/>
        <c:overlap val="-27"/>
        <c:axId val="3111056"/>
        <c:axId val="15602125"/>
      </c:barChart>
      <c:lineChart>
        <c:grouping val="standard"/>
        <c:varyColors val="0"/>
        <c:ser>
          <c:idx val="2"/>
          <c:order val="2"/>
          <c:tx>
            <c:v>Net Debt</c:v>
          </c:tx>
          <c:spPr>
            <a:ln w="28440" cap="rnd">
              <a:solidFill>
                <a:srgbClr val="1F3864"/>
              </a:solidFill>
              <a:round/>
            </a:ln>
          </c:spPr>
          <c:marker>
            <c:symbol val="circle"/>
            <c:size val="7"/>
            <c:spPr>
              <a:solidFill>
                <a:srgbClr val="1F3864"/>
              </a:solidFill>
            </c:spPr>
          </c:marker>
          <c:dLbls>
            <c:spPr>
              <a:noFill/>
              <a:ln>
                <a:noFill/>
              </a:ln>
              <a:effectLst/>
            </c:spPr>
            <c:txPr>
              <a:bodyPr wrap="square"/>
              <a:lstStyle/>
              <a:p>
                <a:pPr>
                  <a:defRPr sz="800" b="1" strike="noStrike" spc="-1">
                    <a:solidFill>
                      <a:srgbClr val="1F3864"/>
                    </a:solidFill>
                    <a:latin typeface="Aptos Narrow"/>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Dashboard!$C$70:$L$70</c:f>
              <c:strCache>
                <c:ptCount val="10"/>
                <c:pt idx="0">
                  <c:v>FY24A</c:v>
                </c:pt>
                <c:pt idx="1">
                  <c:v>FY25A</c:v>
                </c:pt>
                <c:pt idx="2">
                  <c:v>FY26E</c:v>
                </c:pt>
                <c:pt idx="3">
                  <c:v>FY27E</c:v>
                </c:pt>
                <c:pt idx="4">
                  <c:v>FY28E</c:v>
                </c:pt>
                <c:pt idx="5">
                  <c:v>FY29E</c:v>
                </c:pt>
                <c:pt idx="6">
                  <c:v>FY30E</c:v>
                </c:pt>
                <c:pt idx="7">
                  <c:v>FY31E</c:v>
                </c:pt>
                <c:pt idx="8">
                  <c:v>FY32E</c:v>
                </c:pt>
                <c:pt idx="9">
                  <c:v>FY33E</c:v>
                </c:pt>
              </c:strCache>
            </c:strRef>
          </c:cat>
          <c:val>
            <c:numRef>
              <c:f>Dashboard!$C$73:$L$73</c:f>
              <c:numCache>
                <c:formatCode>#,##0.0</c:formatCode>
                <c:ptCount val="10"/>
                <c:pt idx="0">
                  <c:v>250.01999999999998</c:v>
                </c:pt>
                <c:pt idx="1">
                  <c:v>335.63999999999993</c:v>
                </c:pt>
                <c:pt idx="2">
                  <c:v>580.97717481836685</c:v>
                </c:pt>
                <c:pt idx="3">
                  <c:v>399.118709056135</c:v>
                </c:pt>
                <c:pt idx="4">
                  <c:v>53.53964459483467</c:v>
                </c:pt>
                <c:pt idx="5">
                  <c:v>-140.78283810950694</c:v>
                </c:pt>
                <c:pt idx="6">
                  <c:v>-330.32164547764245</c:v>
                </c:pt>
                <c:pt idx="7">
                  <c:v>-518.16563800794097</c:v>
                </c:pt>
                <c:pt idx="8">
                  <c:v>-685.43983822731934</c:v>
                </c:pt>
                <c:pt idx="9">
                  <c:v>-854.19601148192726</c:v>
                </c:pt>
              </c:numCache>
            </c:numRef>
          </c:val>
          <c:smooth val="0"/>
          <c:extLst>
            <c:ext xmlns:c16="http://schemas.microsoft.com/office/drawing/2014/chart" uri="{C3380CC4-5D6E-409C-BE32-E72D297353CC}">
              <c16:uniqueId val="{00000002-C738-451E-B40E-E158B73B36E3}"/>
            </c:ext>
          </c:extLst>
        </c:ser>
        <c:dLbls>
          <c:showLegendKey val="0"/>
          <c:showVal val="0"/>
          <c:showCatName val="0"/>
          <c:showSerName val="0"/>
          <c:showPercent val="0"/>
          <c:showBubbleSize val="0"/>
        </c:dLbls>
        <c:hiLowLines>
          <c:spPr>
            <a:ln w="0">
              <a:noFill/>
            </a:ln>
          </c:spPr>
        </c:hiLowLines>
        <c:marker val="1"/>
        <c:smooth val="0"/>
        <c:axId val="3111056"/>
        <c:axId val="15602125"/>
      </c:lineChart>
      <c:catAx>
        <c:axId val="311105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333333"/>
                </a:solidFill>
                <a:latin typeface="Aptos Narrow"/>
              </a:defRPr>
            </a:pPr>
            <a:endParaRPr lang="en-US"/>
          </a:p>
        </c:txPr>
        <c:crossAx val="15602125"/>
        <c:crosses val="autoZero"/>
        <c:auto val="1"/>
        <c:lblAlgn val="ctr"/>
        <c:lblOffset val="100"/>
        <c:noMultiLvlLbl val="0"/>
      </c:catAx>
      <c:valAx>
        <c:axId val="15602125"/>
        <c:scaling>
          <c:orientation val="minMax"/>
        </c:scaling>
        <c:delete val="0"/>
        <c:axPos val="l"/>
        <c:majorGridlines>
          <c:spPr>
            <a:ln w="9360">
              <a:solidFill>
                <a:srgbClr val="D9D9D9"/>
              </a:solidFill>
              <a:round/>
            </a:ln>
          </c:spPr>
        </c:majorGridlines>
        <c:title>
          <c:tx>
            <c:rich>
              <a:bodyPr rot="-5400000"/>
              <a:lstStyle/>
              <a:p>
                <a:pPr>
                  <a:defRPr lang="en-ID" sz="900" b="0" strike="noStrike" spc="-1">
                    <a:solidFill>
                      <a:srgbClr val="595959"/>
                    </a:solidFill>
                    <a:latin typeface="Aptos Narrow"/>
                  </a:defRPr>
                </a:pPr>
                <a:r>
                  <a:rPr lang="en-ID" sz="900" b="0" strike="noStrike" spc="-1">
                    <a:solidFill>
                      <a:srgbClr val="595959"/>
                    </a:solidFill>
                    <a:latin typeface="Aptos Narrow"/>
                  </a:rPr>
                  <a:t>₹ Crores</a:t>
                </a:r>
              </a:p>
            </c:rich>
          </c:tx>
          <c:overlay val="0"/>
          <c:spPr>
            <a:noFill/>
            <a:ln w="0">
              <a:noFill/>
            </a:ln>
          </c:spPr>
        </c:title>
        <c:numFmt formatCode="#,##0" sourceLinked="0"/>
        <c:majorTickMark val="none"/>
        <c:minorTickMark val="none"/>
        <c:tickLblPos val="nextTo"/>
        <c:spPr>
          <a:ln w="12600">
            <a:noFill/>
          </a:ln>
        </c:spPr>
        <c:txPr>
          <a:bodyPr/>
          <a:lstStyle/>
          <a:p>
            <a:pPr>
              <a:defRPr sz="800" b="0" strike="noStrike" spc="-1">
                <a:solidFill>
                  <a:srgbClr val="808080"/>
                </a:solidFill>
                <a:latin typeface="Aptos Narrow"/>
              </a:defRPr>
            </a:pPr>
            <a:endParaRPr lang="en-US"/>
          </a:p>
        </c:txPr>
        <c:crossAx val="3111056"/>
        <c:crosses val="autoZero"/>
        <c:crossBetween val="between"/>
      </c:valAx>
      <c:spPr>
        <a:noFill/>
        <a:ln w="0">
          <a:noFill/>
        </a:ln>
      </c:spPr>
    </c:plotArea>
    <c:legend>
      <c:legendPos val="b"/>
      <c:overlay val="0"/>
      <c:spPr>
        <a:noFill/>
        <a:ln w="0">
          <a:noFill/>
        </a:ln>
      </c:spPr>
      <c:txPr>
        <a:bodyPr/>
        <a:lstStyle/>
        <a:p>
          <a:pPr>
            <a:defRPr sz="8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100" b="1" strike="noStrike" spc="-1">
                <a:solidFill>
                  <a:srgbClr val="1F3864"/>
                </a:solidFill>
                <a:latin typeface="Aptos Narrow"/>
              </a:defRPr>
            </a:pPr>
            <a:r>
              <a:rPr lang="en-US" sz="1100" b="1" strike="noStrike" spc="-1">
                <a:solidFill>
                  <a:srgbClr val="1F3864"/>
                </a:solidFill>
                <a:latin typeface="Aptos Narrow"/>
              </a:rPr>
              <a:t>Valuation Football Field (₹/Share)</a:t>
            </a:r>
          </a:p>
        </c:rich>
      </c:tx>
      <c:overlay val="0"/>
      <c:spPr>
        <a:noFill/>
        <a:ln w="0">
          <a:noFill/>
        </a:ln>
      </c:spPr>
    </c:title>
    <c:autoTitleDeleted val="0"/>
    <c:plotArea>
      <c:layout/>
      <c:barChart>
        <c:barDir val="bar"/>
        <c:grouping val="stacked"/>
        <c:varyColors val="0"/>
        <c:ser>
          <c:idx val="0"/>
          <c:order val="0"/>
          <c:tx>
            <c:v> </c:v>
          </c:tx>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Aptos Narrow"/>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Dashboard!$B$78:$B$82</c:f>
              <c:strCache>
                <c:ptCount val="5"/>
                <c:pt idx="0">
                  <c:v>Bear (WACC+1%, g 0%)</c:v>
                </c:pt>
                <c:pt idx="1">
                  <c:v>Moderate Bear</c:v>
                </c:pt>
                <c:pt idx="2">
                  <c:v>Base Case</c:v>
                </c:pt>
                <c:pt idx="3">
                  <c:v>Moderate Bull</c:v>
                </c:pt>
                <c:pt idx="4">
                  <c:v>Bull (WACC-1%, g 4%)</c:v>
                </c:pt>
              </c:strCache>
            </c:strRef>
          </c:cat>
          <c:val>
            <c:numRef>
              <c:f>Dashboard!$C$78:$C$82</c:f>
              <c:numCache>
                <c:formatCode>\₹#,##0</c:formatCode>
                <c:ptCount val="5"/>
                <c:pt idx="0">
                  <c:v>465.82130649331788</c:v>
                </c:pt>
                <c:pt idx="1">
                  <c:v>489.35897580367839</c:v>
                </c:pt>
                <c:pt idx="2">
                  <c:v>514.75361681610957</c:v>
                </c:pt>
                <c:pt idx="3">
                  <c:v>542.23561348619728</c:v>
                </c:pt>
                <c:pt idx="4">
                  <c:v>572.07528669385295</c:v>
                </c:pt>
              </c:numCache>
            </c:numRef>
          </c:val>
          <c:extLst>
            <c:ext xmlns:c16="http://schemas.microsoft.com/office/drawing/2014/chart" uri="{C3380CC4-5D6E-409C-BE32-E72D297353CC}">
              <c16:uniqueId val="{00000000-B29D-42D9-B25A-5F614DC70B58}"/>
            </c:ext>
          </c:extLst>
        </c:ser>
        <c:ser>
          <c:idx val="1"/>
          <c:order val="1"/>
          <c:tx>
            <c:v>Base Range</c:v>
          </c:tx>
          <c:spPr>
            <a:solidFill>
              <a:srgbClr val="548235"/>
            </a:solidFill>
            <a:ln w="0">
              <a:noFill/>
            </a:ln>
          </c:spPr>
          <c:invertIfNegative val="0"/>
          <c:dLbls>
            <c:spPr>
              <a:noFill/>
              <a:ln>
                <a:noFill/>
              </a:ln>
              <a:effectLst/>
            </c:spPr>
            <c:txPr>
              <a:bodyPr wrap="square"/>
              <a:lstStyle/>
              <a:p>
                <a:pPr>
                  <a:defRPr sz="1000" b="0" strike="noStrike" spc="-1">
                    <a:solidFill>
                      <a:srgbClr val="000000"/>
                    </a:solidFill>
                    <a:latin typeface="Aptos Narrow"/>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Dashboard!$B$78:$B$82</c:f>
              <c:strCache>
                <c:ptCount val="5"/>
                <c:pt idx="0">
                  <c:v>Bear (WACC+1%, g 0%)</c:v>
                </c:pt>
                <c:pt idx="1">
                  <c:v>Moderate Bear</c:v>
                </c:pt>
                <c:pt idx="2">
                  <c:v>Base Case</c:v>
                </c:pt>
                <c:pt idx="3">
                  <c:v>Moderate Bull</c:v>
                </c:pt>
                <c:pt idx="4">
                  <c:v>Bull (WACC-1%, g 4%)</c:v>
                </c:pt>
              </c:strCache>
            </c:strRef>
          </c:cat>
          <c:val>
            <c:numRef>
              <c:f>Dashboard!$D$78:$D$82</c:f>
              <c:numCache>
                <c:formatCode>#,##0.0</c:formatCode>
                <c:ptCount val="5"/>
                <c:pt idx="0">
                  <c:v>42.875384595916898</c:v>
                </c:pt>
                <c:pt idx="1">
                  <c:v>48.004448562957464</c:v>
                </c:pt>
                <c:pt idx="2">
                  <c:v>53.945080039219079</c:v>
                </c:pt>
                <c:pt idx="3">
                  <c:v>60.863831277910663</c:v>
                </c:pt>
                <c:pt idx="4">
                  <c:v>68.970618241286729</c:v>
                </c:pt>
              </c:numCache>
            </c:numRef>
          </c:val>
          <c:extLst>
            <c:ext xmlns:c16="http://schemas.microsoft.com/office/drawing/2014/chart" uri="{C3380CC4-5D6E-409C-BE32-E72D297353CC}">
              <c16:uniqueId val="{00000001-B29D-42D9-B25A-5F614DC70B58}"/>
            </c:ext>
          </c:extLst>
        </c:ser>
        <c:ser>
          <c:idx val="2"/>
          <c:order val="2"/>
          <c:tx>
            <c:v>Upside Range</c:v>
          </c:tx>
          <c:spPr>
            <a:solidFill>
              <a:srgbClr val="70AD47"/>
            </a:solidFill>
            <a:ln w="0">
              <a:noFill/>
            </a:ln>
          </c:spPr>
          <c:invertIfNegative val="0"/>
          <c:dLbls>
            <c:spPr>
              <a:noFill/>
              <a:ln>
                <a:noFill/>
              </a:ln>
              <a:effectLst/>
            </c:spPr>
            <c:txPr>
              <a:bodyPr wrap="square"/>
              <a:lstStyle/>
              <a:p>
                <a:pPr>
                  <a:defRPr sz="1000" b="0" strike="noStrike" spc="-1">
                    <a:solidFill>
                      <a:srgbClr val="000000"/>
                    </a:solidFill>
                    <a:latin typeface="Aptos Narrow"/>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Dashboard!$B$78:$B$82</c:f>
              <c:strCache>
                <c:ptCount val="5"/>
                <c:pt idx="0">
                  <c:v>Bear (WACC+1%, g 0%)</c:v>
                </c:pt>
                <c:pt idx="1">
                  <c:v>Moderate Bear</c:v>
                </c:pt>
                <c:pt idx="2">
                  <c:v>Base Case</c:v>
                </c:pt>
                <c:pt idx="3">
                  <c:v>Moderate Bull</c:v>
                </c:pt>
                <c:pt idx="4">
                  <c:v>Bull (WACC-1%, g 4%)</c:v>
                </c:pt>
              </c:strCache>
            </c:strRef>
          </c:cat>
          <c:val>
            <c:numRef>
              <c:f>Dashboard!$E$78:$E$82</c:f>
              <c:numCache>
                <c:formatCode>#,##0.0</c:formatCode>
                <c:ptCount val="5"/>
                <c:pt idx="0">
                  <c:v>60.900948121223053</c:v>
                </c:pt>
                <c:pt idx="1">
                  <c:v>69.305792854417859</c:v>
                </c:pt>
                <c:pt idx="2">
                  <c:v>79.288211901311684</c:v>
                </c:pt>
                <c:pt idx="3">
                  <c:v>91.241253611824277</c:v>
                </c:pt>
                <c:pt idx="4">
                  <c:v>105.68469679601333</c:v>
                </c:pt>
              </c:numCache>
            </c:numRef>
          </c:val>
          <c:extLst>
            <c:ext xmlns:c16="http://schemas.microsoft.com/office/drawing/2014/chart" uri="{C3380CC4-5D6E-409C-BE32-E72D297353CC}">
              <c16:uniqueId val="{00000002-B29D-42D9-B25A-5F614DC70B58}"/>
            </c:ext>
          </c:extLst>
        </c:ser>
        <c:dLbls>
          <c:showLegendKey val="0"/>
          <c:showVal val="0"/>
          <c:showCatName val="0"/>
          <c:showSerName val="0"/>
          <c:showPercent val="0"/>
          <c:showBubbleSize val="0"/>
        </c:dLbls>
        <c:gapWidth val="150"/>
        <c:overlap val="100"/>
        <c:axId val="24988228"/>
        <c:axId val="73801048"/>
      </c:barChart>
      <c:catAx>
        <c:axId val="24988228"/>
        <c:scaling>
          <c:orientation val="maxMin"/>
        </c:scaling>
        <c:delete val="0"/>
        <c:axPos val="l"/>
        <c:numFmt formatCode="General" sourceLinked="0"/>
        <c:majorTickMark val="none"/>
        <c:minorTickMark val="none"/>
        <c:tickLblPos val="nextTo"/>
        <c:spPr>
          <a:ln w="9360">
            <a:solidFill>
              <a:srgbClr val="D9D9D9"/>
            </a:solidFill>
            <a:round/>
          </a:ln>
        </c:spPr>
        <c:txPr>
          <a:bodyPr/>
          <a:lstStyle/>
          <a:p>
            <a:pPr>
              <a:defRPr sz="800" b="0" strike="noStrike" spc="-1">
                <a:solidFill>
                  <a:srgbClr val="333333"/>
                </a:solidFill>
                <a:latin typeface="Aptos Narrow"/>
              </a:defRPr>
            </a:pPr>
            <a:endParaRPr lang="en-US"/>
          </a:p>
        </c:txPr>
        <c:crossAx val="73801048"/>
        <c:crosses val="autoZero"/>
        <c:auto val="1"/>
        <c:lblAlgn val="ctr"/>
        <c:lblOffset val="100"/>
        <c:noMultiLvlLbl val="0"/>
      </c:catAx>
      <c:valAx>
        <c:axId val="73801048"/>
        <c:scaling>
          <c:orientation val="minMax"/>
          <c:min val="400"/>
        </c:scaling>
        <c:delete val="0"/>
        <c:axPos val="t"/>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sz="800" b="0" strike="noStrike" spc="-1">
                <a:solidFill>
                  <a:srgbClr val="808080"/>
                </a:solidFill>
                <a:latin typeface="Aptos Narrow"/>
              </a:defRPr>
            </a:pPr>
            <a:endParaRPr lang="en-US"/>
          </a:p>
        </c:txPr>
        <c:crossAx val="24988228"/>
        <c:crosses val="autoZero"/>
        <c:crossBetween val="between"/>
      </c:valAx>
      <c:spPr>
        <a:noFill/>
        <a:ln w="0">
          <a:noFill/>
        </a:ln>
      </c:spPr>
    </c:plotArea>
    <c:legend>
      <c:legendPos val="b"/>
      <c:overlay val="0"/>
      <c:spPr>
        <a:noFill/>
        <a:ln w="0">
          <a:noFill/>
        </a:ln>
      </c:spPr>
      <c:txPr>
        <a:bodyPr/>
        <a:lstStyle/>
        <a:p>
          <a:pPr>
            <a:defRPr sz="8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30787</xdr:rowOff>
    </xdr:from>
    <xdr:to>
      <xdr:col>1</xdr:col>
      <xdr:colOff>7600905</xdr:colOff>
      <xdr:row>34</xdr:row>
      <xdr:rowOff>29422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7756929</xdr:colOff>
      <xdr:row>16</xdr:row>
      <xdr:rowOff>41965</xdr:rowOff>
    </xdr:from>
    <xdr:to>
      <xdr:col>2</xdr:col>
      <xdr:colOff>79332</xdr:colOff>
      <xdr:row>34</xdr:row>
      <xdr:rowOff>36147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127080</xdr:colOff>
      <xdr:row>36</xdr:row>
      <xdr:rowOff>12600</xdr:rowOff>
    </xdr:from>
    <xdr:to>
      <xdr:col>1</xdr:col>
      <xdr:colOff>7727985</xdr:colOff>
      <xdr:row>53</xdr:row>
      <xdr:rowOff>113760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7823882</xdr:colOff>
      <xdr:row>35</xdr:row>
      <xdr:rowOff>140795</xdr:rowOff>
    </xdr:from>
    <xdr:to>
      <xdr:col>2</xdr:col>
      <xdr:colOff>149174</xdr:colOff>
      <xdr:row>53</xdr:row>
      <xdr:rowOff>72413</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9F0A58-1035-4393-BEB1-DB5D4741BE76}">
  <we:reference id="WA200009404" version="1.0.0.8" store="Omex" storeType="OMEX"/>
  <we:alternateReferences>
    <we:reference id="WA200009404" version="1.0.0.8" store="WA200009404" storeType="OMEX"/>
  </we:alternateReferences>
  <we:properties>
    <we:property name="claude.fileId" value="&quot;e0aa102c-4257-443b-a874-ec757bd5e2b4&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12641-9852-4719-AAB3-BBFB8D240B35}">
  <dimension ref="A1:E29"/>
  <sheetViews>
    <sheetView showGridLines="0" workbookViewId="0">
      <selection activeCell="E15" sqref="E15"/>
    </sheetView>
  </sheetViews>
  <sheetFormatPr defaultRowHeight="14.4" x14ac:dyDescent="0.3"/>
  <cols>
    <col min="1" max="1" width="3.6640625" customWidth="1"/>
    <col min="2" max="2" width="5.5546875" customWidth="1"/>
    <col min="3" max="3" width="37" customWidth="1"/>
    <col min="4" max="4" width="42.5546875" customWidth="1"/>
    <col min="5" max="5" width="51.88671875" customWidth="1"/>
  </cols>
  <sheetData>
    <row r="1" spans="1:5" x14ac:dyDescent="0.3">
      <c r="A1" s="48"/>
      <c r="B1" s="48"/>
      <c r="C1" s="48"/>
      <c r="D1" s="48"/>
      <c r="E1" s="48"/>
    </row>
    <row r="2" spans="1:5" ht="24" customHeight="1" x14ac:dyDescent="0.4">
      <c r="A2" s="48"/>
      <c r="B2" s="59" t="s">
        <v>1169</v>
      </c>
      <c r="C2" s="48"/>
      <c r="D2" s="48"/>
      <c r="E2" s="48"/>
    </row>
    <row r="3" spans="1:5" ht="18" customHeight="1" x14ac:dyDescent="0.3">
      <c r="A3" s="48"/>
      <c r="B3" s="60" t="s">
        <v>1170</v>
      </c>
      <c r="C3" s="48"/>
      <c r="D3" s="48"/>
      <c r="E3" s="48"/>
    </row>
    <row r="4" spans="1:5" x14ac:dyDescent="0.3">
      <c r="A4" s="48"/>
      <c r="B4" s="48"/>
      <c r="C4" s="48"/>
      <c r="D4" s="48"/>
      <c r="E4" s="48"/>
    </row>
    <row r="5" spans="1:5" ht="22.05" customHeight="1" x14ac:dyDescent="0.3">
      <c r="A5" s="48"/>
      <c r="B5" s="62" t="s">
        <v>2</v>
      </c>
      <c r="C5" s="61" t="s">
        <v>1171</v>
      </c>
      <c r="D5" s="61" t="s">
        <v>1172</v>
      </c>
      <c r="E5" s="61" t="s">
        <v>1173</v>
      </c>
    </row>
    <row r="6" spans="1:5" ht="19.95" customHeight="1" x14ac:dyDescent="0.3">
      <c r="A6" s="48"/>
      <c r="B6" s="37">
        <v>1</v>
      </c>
      <c r="C6" s="155" t="s">
        <v>1174</v>
      </c>
      <c r="D6" s="64" t="s">
        <v>1175</v>
      </c>
      <c r="E6" s="64" t="s">
        <v>1176</v>
      </c>
    </row>
    <row r="7" spans="1:5" ht="19.95" customHeight="1" x14ac:dyDescent="0.3">
      <c r="A7" s="48"/>
      <c r="B7" s="39">
        <v>2</v>
      </c>
      <c r="C7" s="156" t="s">
        <v>50</v>
      </c>
      <c r="D7" s="63" t="s">
        <v>1177</v>
      </c>
      <c r="E7" s="63" t="s">
        <v>1178</v>
      </c>
    </row>
    <row r="8" spans="1:5" ht="19.95" customHeight="1" x14ac:dyDescent="0.3">
      <c r="A8" s="48"/>
      <c r="B8" s="37">
        <v>3</v>
      </c>
      <c r="C8" s="155" t="s">
        <v>1179</v>
      </c>
      <c r="D8" s="64" t="s">
        <v>1180</v>
      </c>
      <c r="E8" s="64" t="s">
        <v>1181</v>
      </c>
    </row>
    <row r="9" spans="1:5" ht="19.95" customHeight="1" x14ac:dyDescent="0.3">
      <c r="A9" s="48"/>
      <c r="B9" s="39">
        <v>4</v>
      </c>
      <c r="C9" s="156" t="s">
        <v>1182</v>
      </c>
      <c r="D9" s="63" t="s">
        <v>1183</v>
      </c>
      <c r="E9" s="63" t="s">
        <v>1184</v>
      </c>
    </row>
    <row r="10" spans="1:5" ht="19.95" customHeight="1" x14ac:dyDescent="0.3">
      <c r="A10" s="48"/>
      <c r="B10" s="37">
        <v>5</v>
      </c>
      <c r="C10" s="155" t="s">
        <v>1185</v>
      </c>
      <c r="D10" s="64" t="s">
        <v>1186</v>
      </c>
      <c r="E10" s="64" t="s">
        <v>1187</v>
      </c>
    </row>
    <row r="11" spans="1:5" ht="19.95" customHeight="1" x14ac:dyDescent="0.3">
      <c r="A11" s="48"/>
      <c r="B11" s="39">
        <v>6</v>
      </c>
      <c r="C11" s="156" t="s">
        <v>1188</v>
      </c>
      <c r="D11" s="63" t="s">
        <v>1189</v>
      </c>
      <c r="E11" s="63" t="s">
        <v>1190</v>
      </c>
    </row>
    <row r="12" spans="1:5" ht="19.95" customHeight="1" x14ac:dyDescent="0.3">
      <c r="A12" s="48"/>
      <c r="B12" s="37">
        <v>7</v>
      </c>
      <c r="C12" s="155" t="s">
        <v>1191</v>
      </c>
      <c r="D12" s="64" t="s">
        <v>1192</v>
      </c>
      <c r="E12" s="64" t="s">
        <v>1193</v>
      </c>
    </row>
    <row r="13" spans="1:5" ht="19.95" customHeight="1" x14ac:dyDescent="0.3">
      <c r="A13" s="48"/>
      <c r="B13" s="39">
        <v>8</v>
      </c>
      <c r="C13" s="156" t="s">
        <v>1225</v>
      </c>
      <c r="D13" s="63" t="s">
        <v>1194</v>
      </c>
      <c r="E13" s="63" t="s">
        <v>1195</v>
      </c>
    </row>
    <row r="14" spans="1:5" ht="19.95" customHeight="1" x14ac:dyDescent="0.3">
      <c r="A14" s="48"/>
      <c r="B14" s="37">
        <v>9</v>
      </c>
      <c r="C14" s="155" t="s">
        <v>1196</v>
      </c>
      <c r="D14" s="64" t="s">
        <v>1197</v>
      </c>
      <c r="E14" s="64" t="str">
        <f>"Intrinsic value per share (₹"&amp;TEXT('WACC &amp; DCF Valuation'!B81,"0")&amp;")"</f>
        <v>Intrinsic value per share (₹515)</v>
      </c>
    </row>
    <row r="15" spans="1:5" ht="19.95" customHeight="1" x14ac:dyDescent="0.3">
      <c r="A15" s="48"/>
      <c r="B15" s="39">
        <v>10</v>
      </c>
      <c r="C15" s="156" t="s">
        <v>1198</v>
      </c>
      <c r="D15" s="63" t="s">
        <v>1199</v>
      </c>
      <c r="E15" s="63" t="str">
        <f>"Valuation range ₹"&amp;TEXT(MIN('Sensitivity Analysis'!B11:F15),"#,##0")&amp;"–₹"&amp;TEXT(MAX('Sensitivity Analysis'!B11:F15),"#,##0")</f>
        <v>Valuation range ₹466–₹747</v>
      </c>
    </row>
    <row r="16" spans="1:5" ht="19.95" customHeight="1" x14ac:dyDescent="0.3">
      <c r="A16" s="48"/>
      <c r="B16" s="37">
        <v>11</v>
      </c>
      <c r="C16" s="155" t="s">
        <v>1200</v>
      </c>
      <c r="D16" s="64" t="s">
        <v>1201</v>
      </c>
      <c r="E16" s="64" t="s">
        <v>1202</v>
      </c>
    </row>
    <row r="17" spans="1:5" ht="19.95" customHeight="1" x14ac:dyDescent="0.3">
      <c r="A17" s="48"/>
      <c r="B17" s="39">
        <v>12</v>
      </c>
      <c r="C17" s="156" t="s">
        <v>1203</v>
      </c>
      <c r="D17" s="63" t="s">
        <v>1204</v>
      </c>
      <c r="E17" s="63" t="s">
        <v>1205</v>
      </c>
    </row>
    <row r="18" spans="1:5" ht="19.95" customHeight="1" x14ac:dyDescent="0.3">
      <c r="A18" s="48"/>
      <c r="B18" s="37">
        <v>13</v>
      </c>
      <c r="C18" s="155" t="s">
        <v>1206</v>
      </c>
      <c r="D18" s="64" t="s">
        <v>1207</v>
      </c>
      <c r="E18" s="64" t="s">
        <v>1208</v>
      </c>
    </row>
    <row r="19" spans="1:5" ht="19.95" customHeight="1" x14ac:dyDescent="0.3">
      <c r="A19" s="48"/>
      <c r="B19" s="39">
        <v>14</v>
      </c>
      <c r="C19" s="156" t="s">
        <v>1209</v>
      </c>
      <c r="D19" s="63" t="s">
        <v>1210</v>
      </c>
      <c r="E19" s="63" t="s">
        <v>1211</v>
      </c>
    </row>
    <row r="20" spans="1:5" ht="19.95" customHeight="1" x14ac:dyDescent="0.3">
      <c r="A20" s="48"/>
      <c r="B20" s="37">
        <v>15</v>
      </c>
      <c r="C20" s="155" t="s">
        <v>1212</v>
      </c>
      <c r="D20" s="64" t="s">
        <v>1213</v>
      </c>
      <c r="E20" s="64" t="s">
        <v>1214</v>
      </c>
    </row>
    <row r="21" spans="1:5" ht="19.95" customHeight="1" x14ac:dyDescent="0.3">
      <c r="A21" s="48"/>
      <c r="B21" s="39">
        <v>16</v>
      </c>
      <c r="C21" s="156" t="s">
        <v>1215</v>
      </c>
      <c r="D21" s="63" t="s">
        <v>1216</v>
      </c>
      <c r="E21" s="63" t="s">
        <v>1217</v>
      </c>
    </row>
    <row r="22" spans="1:5" ht="19.95" customHeight="1" x14ac:dyDescent="0.3">
      <c r="A22" s="48"/>
      <c r="B22" s="37">
        <v>17</v>
      </c>
      <c r="C22" s="155" t="s">
        <v>1218</v>
      </c>
      <c r="D22" s="64" t="s">
        <v>1219</v>
      </c>
      <c r="E22" s="64" t="s">
        <v>1220</v>
      </c>
    </row>
    <row r="23" spans="1:5" x14ac:dyDescent="0.3">
      <c r="A23" s="48"/>
      <c r="B23" s="48"/>
      <c r="C23" s="48"/>
      <c r="D23" s="48"/>
      <c r="E23" s="48"/>
    </row>
    <row r="24" spans="1:5" ht="22.05" customHeight="1" x14ac:dyDescent="0.3">
      <c r="A24" s="48"/>
      <c r="B24" s="66" t="s">
        <v>1221</v>
      </c>
      <c r="C24" s="157"/>
      <c r="D24" s="157"/>
      <c r="E24" s="157"/>
    </row>
    <row r="25" spans="1:5" x14ac:dyDescent="0.3">
      <c r="A25" s="48"/>
      <c r="B25" s="67" t="s">
        <v>555</v>
      </c>
      <c r="C25" s="48"/>
      <c r="D25" s="48"/>
      <c r="E25" s="48"/>
    </row>
    <row r="26" spans="1:5" x14ac:dyDescent="0.3">
      <c r="B26" s="68" t="s">
        <v>556</v>
      </c>
    </row>
    <row r="27" spans="1:5" x14ac:dyDescent="0.3">
      <c r="B27" s="69" t="s">
        <v>1222</v>
      </c>
    </row>
    <row r="28" spans="1:5" x14ac:dyDescent="0.3">
      <c r="B28" s="70" t="s">
        <v>1223</v>
      </c>
    </row>
    <row r="29" spans="1:5" x14ac:dyDescent="0.3">
      <c r="B29" s="71" t="s">
        <v>1224</v>
      </c>
    </row>
  </sheetData>
  <hyperlinks>
    <hyperlink ref="C6" location="'Model Checks'!A1" display="Model Checks" xr:uid="{39FC5351-0A8C-465D-A49F-89E373428526}"/>
    <hyperlink ref="C7" location="'Scenario Engine'!A1" display="Scenario Engine" xr:uid="{910EA75A-2F80-4B43-9543-CA7723B10F30}"/>
    <hyperlink ref="C8" location="'Dashboard'!A1" display="Dashboard" xr:uid="{C6EB66A9-D9ED-4F53-8A34-A02961669292}"/>
    <hyperlink ref="C9" location="'Historical FS'!A1" display="Historical FS" xr:uid="{56F85253-60DB-4B28-BCD7-7A23B4621000}"/>
    <hyperlink ref="C10" location="'Ratio Analysis'!A1" display="Ratio Analysis" xr:uid="{B0C01944-00C8-4316-ACD6-24557E3EEF8A}"/>
    <hyperlink ref="C11" location="'Common Size Statements'!A1" display="Common Size Statements" xr:uid="{EB290C61-EDCE-4DD8-A38F-12689158E026}"/>
    <hyperlink ref="C12" location="'Assumptions &amp; Drivers'!A1" display="Assumptions &amp; Drivers" xr:uid="{2BDE8A19-1AA6-4863-A648-17CD27142D11}"/>
    <hyperlink ref="C13" location="'The 3-Statement Projection'!A1" display="The 3-Statement Projection" xr:uid="{B1C6C3FD-2AC6-49BE-A655-8101CB838288}"/>
    <hyperlink ref="C14" location="'WACC &amp; DCF Valuation'!A1" display="WACC &amp; DCF Valuation" xr:uid="{B87315CA-9975-476F-B3EB-593B57F3ED79}"/>
    <hyperlink ref="C15" location="'Sensitivity Analysis'!A1" display="Sensitivity Analysis" xr:uid="{43CFE0B5-16F1-4201-B151-220B93A9316D}"/>
    <hyperlink ref="C16" location="'Comparable Company Analysis'!A1" display="Comparable Company Analysis" xr:uid="{337A29D0-9BBD-41A3-8B0C-7F3FEDA408E4}"/>
    <hyperlink ref="C17" location="'Production &amp; Offtake'!A1" display="Production &amp; Offtake" xr:uid="{89AD4256-48FE-41F8-903C-6293E8BAB5B7}"/>
    <hyperlink ref="C18" location="'Depreciation Schedule'!A1" display="Depreciation Schedule" xr:uid="{9FD42A82-9CE5-4749-8A15-4FA4FC473BE5}"/>
    <hyperlink ref="C19" location="'Tax Working'!A1" display="Tax Working" xr:uid="{2C8596B2-F828-4D9F-97B1-5A53F9C07CBA}"/>
    <hyperlink ref="C20" location="'Debt Schedule'!A1" display="Debt Schedule" xr:uid="{3005E7D5-B0EB-441E-AFFE-08D0429753D4}"/>
    <hyperlink ref="C21" location="'Working Capital Schedule'!A1" display="Working Capital Schedule" xr:uid="{EACA3BBB-6058-4A4F-AFDB-1912E776787E}"/>
    <hyperlink ref="C22" location="'DSCR Covenant Tracker'!A1" display="DSCR Covenant Tracker" xr:uid="{4C0E9171-A69F-4E21-AB01-D08ABE64EB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zoomScaleNormal="100" workbookViewId="0">
      <pane xSplit="1" ySplit="4" topLeftCell="B11" activePane="bottomRight" state="frozen"/>
      <selection pane="topRight" activeCell="B1" sqref="B1"/>
      <selection pane="bottomLeft" activeCell="A5" sqref="A5"/>
      <selection pane="bottomRight" activeCell="D81" sqref="D81"/>
    </sheetView>
  </sheetViews>
  <sheetFormatPr defaultColWidth="8.6640625" defaultRowHeight="14.4" x14ac:dyDescent="0.3"/>
  <cols>
    <col min="1" max="1" width="5.5546875" customWidth="1"/>
    <col min="2" max="2" width="57.44140625" customWidth="1"/>
    <col min="3" max="3" width="11.109375" customWidth="1"/>
    <col min="4" max="4" width="18.5546875" customWidth="1"/>
  </cols>
  <sheetData>
    <row r="1" spans="1:4" ht="24" customHeight="1" x14ac:dyDescent="0.3">
      <c r="A1" s="48"/>
      <c r="B1" s="894" t="s">
        <v>0</v>
      </c>
      <c r="C1" s="895"/>
      <c r="D1" s="895"/>
    </row>
    <row r="2" spans="1:4" ht="18" customHeight="1" x14ac:dyDescent="0.3">
      <c r="A2" s="48"/>
      <c r="B2" s="60" t="s">
        <v>1</v>
      </c>
      <c r="C2" s="48"/>
      <c r="D2" s="48"/>
    </row>
    <row r="3" spans="1:4" ht="18" customHeight="1" x14ac:dyDescent="0.3">
      <c r="A3" s="48"/>
      <c r="B3" s="48"/>
      <c r="C3" s="48"/>
      <c r="D3" s="48"/>
    </row>
    <row r="4" spans="1:4" ht="22.05" customHeight="1" x14ac:dyDescent="0.3">
      <c r="A4" s="62" t="s">
        <v>2</v>
      </c>
      <c r="B4" s="62" t="s">
        <v>3</v>
      </c>
      <c r="C4" s="62" t="s">
        <v>4</v>
      </c>
      <c r="D4" s="62" t="s">
        <v>5</v>
      </c>
    </row>
    <row r="5" spans="1:4" ht="19.95" customHeight="1" x14ac:dyDescent="0.3">
      <c r="A5" s="48"/>
      <c r="B5" s="66" t="s">
        <v>6</v>
      </c>
      <c r="C5" s="48"/>
      <c r="D5" s="48"/>
    </row>
    <row r="6" spans="1:4" ht="19.95" customHeight="1" x14ac:dyDescent="0.3">
      <c r="A6" s="58">
        <v>1</v>
      </c>
      <c r="B6" s="58" t="s">
        <v>7</v>
      </c>
      <c r="C6" s="39" t="str">
        <f>IF(ABS('The 3-Statement Projection'!B105)&lt;0.05,"PASS","FAIL")</f>
        <v>PASS</v>
      </c>
      <c r="D6" s="43">
        <f>'The 3-Statement Projection'!B105</f>
        <v>0</v>
      </c>
    </row>
    <row r="7" spans="1:4" ht="19.95" customHeight="1" x14ac:dyDescent="0.3">
      <c r="A7" s="58">
        <v>2</v>
      </c>
      <c r="B7" s="58" t="s">
        <v>8</v>
      </c>
      <c r="C7" s="39" t="str">
        <f>IF(ABS('The 3-Statement Projection'!C105)&lt;0.05,"PASS","FAIL")</f>
        <v>PASS</v>
      </c>
      <c r="D7" s="43">
        <f>'The 3-Statement Projection'!C105</f>
        <v>0</v>
      </c>
    </row>
    <row r="8" spans="1:4" ht="19.95" customHeight="1" x14ac:dyDescent="0.3">
      <c r="A8" s="58">
        <v>3</v>
      </c>
      <c r="B8" s="58" t="s">
        <v>9</v>
      </c>
      <c r="C8" s="39" t="str">
        <f ca="1">IF(ABS('The 3-Statement Projection'!D105)&lt;0.05,"PASS","FAIL")</f>
        <v>PASS</v>
      </c>
      <c r="D8" s="43">
        <f ca="1">'The 3-Statement Projection'!D105</f>
        <v>0</v>
      </c>
    </row>
    <row r="9" spans="1:4" ht="19.95" customHeight="1" x14ac:dyDescent="0.3">
      <c r="A9" s="58">
        <v>4</v>
      </c>
      <c r="B9" s="58" t="s">
        <v>10</v>
      </c>
      <c r="C9" s="39" t="str">
        <f ca="1">IF(ABS('The 3-Statement Projection'!E105)&lt;0.05,"PASS","FAIL")</f>
        <v>PASS</v>
      </c>
      <c r="D9" s="43">
        <f ca="1">'The 3-Statement Projection'!E105</f>
        <v>0</v>
      </c>
    </row>
    <row r="10" spans="1:4" ht="19.95" customHeight="1" x14ac:dyDescent="0.3">
      <c r="A10" s="58">
        <v>5</v>
      </c>
      <c r="B10" s="58" t="s">
        <v>11</v>
      </c>
      <c r="C10" s="39" t="str">
        <f ca="1">IF(ABS('The 3-Statement Projection'!F105)&lt;0.05,"PASS","FAIL")</f>
        <v>PASS</v>
      </c>
      <c r="D10" s="43">
        <f ca="1">'The 3-Statement Projection'!F105</f>
        <v>0</v>
      </c>
    </row>
    <row r="11" spans="1:4" ht="19.95" customHeight="1" x14ac:dyDescent="0.3">
      <c r="A11" s="58">
        <v>6</v>
      </c>
      <c r="B11" s="58" t="s">
        <v>12</v>
      </c>
      <c r="C11" s="39" t="str">
        <f ca="1">IF(ABS('The 3-Statement Projection'!G105)&lt;0.05,"PASS","FAIL")</f>
        <v>PASS</v>
      </c>
      <c r="D11" s="43">
        <f ca="1">'The 3-Statement Projection'!G105</f>
        <v>0</v>
      </c>
    </row>
    <row r="12" spans="1:4" ht="19.95" customHeight="1" x14ac:dyDescent="0.3">
      <c r="A12" s="58">
        <v>7</v>
      </c>
      <c r="B12" s="58" t="s">
        <v>13</v>
      </c>
      <c r="C12" s="39" t="str">
        <f>IF(ABS('Historical FS'!L96-'Historical FS'!L74)&lt;0.1,"PASS","FAIL")</f>
        <v>PASS</v>
      </c>
      <c r="D12" s="39">
        <f>'Historical FS'!L96-'Historical FS'!L74</f>
        <v>0</v>
      </c>
    </row>
    <row r="13" spans="1:4" ht="19.95" customHeight="1" x14ac:dyDescent="0.3">
      <c r="A13" s="48"/>
      <c r="B13" s="48"/>
      <c r="C13" s="39"/>
      <c r="D13" s="39"/>
    </row>
    <row r="14" spans="1:4" ht="19.95" customHeight="1" x14ac:dyDescent="0.3">
      <c r="A14" s="48"/>
      <c r="B14" s="66" t="s">
        <v>14</v>
      </c>
      <c r="C14" s="39"/>
      <c r="D14" s="39"/>
    </row>
    <row r="15" spans="1:4" ht="19.95" customHeight="1" x14ac:dyDescent="0.3">
      <c r="A15" s="58">
        <v>10</v>
      </c>
      <c r="B15" s="58" t="s">
        <v>15</v>
      </c>
      <c r="C15" s="39" t="str">
        <f>IF(ABS('Historical FS'!L141-'Historical FS'!L91)&lt;0.1,"PASS","FAIL")</f>
        <v>PASS</v>
      </c>
      <c r="D15" s="39">
        <f>'Historical FS'!L141-'Historical FS'!L91</f>
        <v>0</v>
      </c>
    </row>
    <row r="16" spans="1:4" ht="19.95" customHeight="1" x14ac:dyDescent="0.3">
      <c r="A16" s="58">
        <v>11</v>
      </c>
      <c r="B16" s="58" t="s">
        <v>16</v>
      </c>
      <c r="C16" s="39" t="str">
        <f ca="1">IF(ABS('The 3-Statement Projection'!D102-'The 3-Statement Projection'!D67)&lt;0.05,"PASS","FAIL")</f>
        <v>PASS</v>
      </c>
      <c r="D16" s="39">
        <f ca="1">'The 3-Statement Projection'!D102-'The 3-Statement Projection'!D67</f>
        <v>0</v>
      </c>
    </row>
    <row r="17" spans="1:4" ht="19.95" customHeight="1" x14ac:dyDescent="0.3">
      <c r="A17" s="58">
        <v>12</v>
      </c>
      <c r="B17" s="58" t="s">
        <v>17</v>
      </c>
      <c r="C17" s="39" t="str">
        <f ca="1">IF(ABS('The 3-Statement Projection'!E102-'The 3-Statement Projection'!E67)&lt;0.05,"PASS","FAIL")</f>
        <v>PASS</v>
      </c>
      <c r="D17" s="39">
        <f ca="1">'The 3-Statement Projection'!E102-'The 3-Statement Projection'!E67</f>
        <v>0</v>
      </c>
    </row>
    <row r="18" spans="1:4" ht="19.95" customHeight="1" x14ac:dyDescent="0.3">
      <c r="A18" s="58">
        <v>13</v>
      </c>
      <c r="B18" s="58" t="s">
        <v>18</v>
      </c>
      <c r="C18" s="39" t="str">
        <f ca="1">IF(ABS('The 3-Statement Projection'!F102-'The 3-Statement Projection'!F67)&lt;0.05,"PASS","FAIL")</f>
        <v>PASS</v>
      </c>
      <c r="D18" s="39">
        <f ca="1">'The 3-Statement Projection'!F102-'The 3-Statement Projection'!F67</f>
        <v>0</v>
      </c>
    </row>
    <row r="19" spans="1:4" ht="19.95" customHeight="1" x14ac:dyDescent="0.3">
      <c r="A19" s="58">
        <v>14</v>
      </c>
      <c r="B19" s="58" t="s">
        <v>19</v>
      </c>
      <c r="C19" s="39" t="str">
        <f ca="1">IF(ABS('The 3-Statement Projection'!G102-'The 3-Statement Projection'!G67)&lt;0.05,"PASS","FAIL")</f>
        <v>PASS</v>
      </c>
      <c r="D19" s="39">
        <f ca="1">'The 3-Statement Projection'!G102-'The 3-Statement Projection'!G67</f>
        <v>0</v>
      </c>
    </row>
    <row r="20" spans="1:4" ht="19.95" customHeight="1" x14ac:dyDescent="0.3">
      <c r="A20" s="48"/>
      <c r="B20" s="48"/>
      <c r="C20" s="39"/>
      <c r="D20" s="39"/>
    </row>
    <row r="21" spans="1:4" ht="19.95" customHeight="1" x14ac:dyDescent="0.3">
      <c r="A21" s="48"/>
      <c r="B21" s="66" t="s">
        <v>20</v>
      </c>
      <c r="C21" s="39"/>
      <c r="D21" s="39"/>
    </row>
    <row r="22" spans="1:4" ht="19.95" customHeight="1" x14ac:dyDescent="0.3">
      <c r="A22" s="58">
        <v>17</v>
      </c>
      <c r="B22" s="58" t="s">
        <v>21</v>
      </c>
      <c r="C22" s="39" t="str">
        <f>IF(ABS('The 3-Statement Projection'!C109)&lt;0.05,"PASS","FAIL")</f>
        <v>PASS</v>
      </c>
      <c r="D22" s="43">
        <f>'The 3-Statement Projection'!C109</f>
        <v>0</v>
      </c>
    </row>
    <row r="23" spans="1:4" ht="19.95" customHeight="1" x14ac:dyDescent="0.3">
      <c r="A23" s="58">
        <v>18</v>
      </c>
      <c r="B23" s="58" t="s">
        <v>22</v>
      </c>
      <c r="C23" s="39" t="str">
        <f ca="1">IF(ABS('The 3-Statement Projection'!D109)&lt;0.05,"PASS","FAIL")</f>
        <v>PASS</v>
      </c>
      <c r="D23" s="43">
        <f ca="1">'The 3-Statement Projection'!D109</f>
        <v>0</v>
      </c>
    </row>
    <row r="24" spans="1:4" ht="19.95" customHeight="1" x14ac:dyDescent="0.3">
      <c r="A24" s="58">
        <v>19</v>
      </c>
      <c r="B24" s="58" t="s">
        <v>23</v>
      </c>
      <c r="C24" s="39" t="str">
        <f ca="1">IF(ABS('The 3-Statement Projection'!E109)&lt;0.05,"PASS","FAIL")</f>
        <v>PASS</v>
      </c>
      <c r="D24" s="43">
        <f ca="1">'The 3-Statement Projection'!E109</f>
        <v>0</v>
      </c>
    </row>
    <row r="25" spans="1:4" ht="19.95" customHeight="1" x14ac:dyDescent="0.3">
      <c r="A25" s="58">
        <v>20</v>
      </c>
      <c r="B25" s="58" t="s">
        <v>24</v>
      </c>
      <c r="C25" s="39" t="str">
        <f ca="1">IF(ABS('The 3-Statement Projection'!F109)&lt;0.05,"PASS","FAIL")</f>
        <v>PASS</v>
      </c>
      <c r="D25" s="43">
        <f ca="1">'The 3-Statement Projection'!F109</f>
        <v>0</v>
      </c>
    </row>
    <row r="26" spans="1:4" ht="19.95" customHeight="1" x14ac:dyDescent="0.3">
      <c r="A26" s="58">
        <v>21</v>
      </c>
      <c r="B26" s="58" t="s">
        <v>25</v>
      </c>
      <c r="C26" s="39" t="str">
        <f ca="1">IF(ABS('The 3-Statement Projection'!G109)&lt;0.05,"PASS","FAIL")</f>
        <v>PASS</v>
      </c>
      <c r="D26" s="43">
        <f ca="1">'The 3-Statement Projection'!G109</f>
        <v>0</v>
      </c>
    </row>
    <row r="27" spans="1:4" ht="19.95" customHeight="1" x14ac:dyDescent="0.3">
      <c r="A27" s="159">
        <v>22</v>
      </c>
      <c r="B27" s="66" t="s">
        <v>26</v>
      </c>
      <c r="C27" s="39" t="str">
        <f ca="1">IF(ABS('The 3-Statement Projection'!D110)&lt;0.05,"PASS","FAIL")</f>
        <v>PASS</v>
      </c>
      <c r="D27" s="43">
        <f ca="1">'The 3-Statement Projection'!D110</f>
        <v>0</v>
      </c>
    </row>
    <row r="28" spans="1:4" ht="19.95" customHeight="1" x14ac:dyDescent="0.3">
      <c r="A28" s="58">
        <v>23</v>
      </c>
      <c r="B28" s="58" t="s">
        <v>27</v>
      </c>
      <c r="C28" s="39" t="str">
        <f ca="1">IF(ABS('The 3-Statement Projection'!E110)&lt;0.05,"PASS","FAIL")</f>
        <v>PASS</v>
      </c>
      <c r="D28" s="43">
        <f ca="1">'The 3-Statement Projection'!E110</f>
        <v>0</v>
      </c>
    </row>
    <row r="29" spans="1:4" ht="19.95" customHeight="1" x14ac:dyDescent="0.3">
      <c r="A29" s="58">
        <v>24</v>
      </c>
      <c r="B29" s="58" t="s">
        <v>28</v>
      </c>
      <c r="C29" s="39" t="str">
        <f ca="1">IF(ABS('The 3-Statement Projection'!F110)&lt;0.05,"PASS","FAIL")</f>
        <v>PASS</v>
      </c>
      <c r="D29" s="43">
        <f ca="1">'The 3-Statement Projection'!F110</f>
        <v>0</v>
      </c>
    </row>
    <row r="30" spans="1:4" ht="19.95" customHeight="1" x14ac:dyDescent="0.3">
      <c r="A30" s="58">
        <v>25</v>
      </c>
      <c r="B30" s="58" t="s">
        <v>29</v>
      </c>
      <c r="C30" s="39" t="str">
        <f ca="1">IF(ABS('The 3-Statement Projection'!G110)&lt;0.05,"PASS","FAIL")</f>
        <v>PASS</v>
      </c>
      <c r="D30" s="43">
        <f ca="1">'The 3-Statement Projection'!G110</f>
        <v>0</v>
      </c>
    </row>
    <row r="31" spans="1:4" ht="19.95" customHeight="1" x14ac:dyDescent="0.3">
      <c r="A31" s="58"/>
      <c r="B31" s="58"/>
      <c r="C31" s="39"/>
      <c r="D31" s="39"/>
    </row>
    <row r="32" spans="1:4" ht="19.95" customHeight="1" x14ac:dyDescent="0.3">
      <c r="A32" s="58"/>
      <c r="B32" s="163" t="s">
        <v>30</v>
      </c>
      <c r="C32" s="39"/>
      <c r="D32" s="39"/>
    </row>
    <row r="33" spans="1:4" ht="19.95" customHeight="1" x14ac:dyDescent="0.3">
      <c r="A33" s="159">
        <v>28</v>
      </c>
      <c r="B33" s="66" t="s">
        <v>31</v>
      </c>
      <c r="C33" s="39" t="str">
        <f>IF(ABS('Depreciation Schedule'!E21-'The 3-Statement Projection'!D18)&lt;0.05,"PASS","FAIL")</f>
        <v>PASS</v>
      </c>
      <c r="D33" s="39">
        <f>'Depreciation Schedule'!E21-'The 3-Statement Projection'!D18</f>
        <v>0</v>
      </c>
    </row>
    <row r="34" spans="1:4" ht="19.95" customHeight="1" x14ac:dyDescent="0.3">
      <c r="A34" s="58">
        <v>29</v>
      </c>
      <c r="B34" s="58" t="s">
        <v>32</v>
      </c>
      <c r="C34" s="39" t="str">
        <f>IF(ABS('Depreciation Schedule'!F21-'The 3-Statement Projection'!E18)&lt;0.05,"PASS","FAIL")</f>
        <v>PASS</v>
      </c>
      <c r="D34" s="39">
        <f>'Depreciation Schedule'!F21-'The 3-Statement Projection'!E18</f>
        <v>0</v>
      </c>
    </row>
    <row r="35" spans="1:4" ht="19.95" customHeight="1" x14ac:dyDescent="0.3">
      <c r="A35" s="58">
        <v>30</v>
      </c>
      <c r="B35" s="58" t="s">
        <v>33</v>
      </c>
      <c r="C35" s="39" t="str">
        <f>IF(ABS('Depreciation Schedule'!G21-'The 3-Statement Projection'!F18)&lt;0.05,"PASS","FAIL")</f>
        <v>PASS</v>
      </c>
      <c r="D35" s="39">
        <f>'Depreciation Schedule'!G21-'The 3-Statement Projection'!F18</f>
        <v>0</v>
      </c>
    </row>
    <row r="36" spans="1:4" ht="19.95" customHeight="1" x14ac:dyDescent="0.3">
      <c r="A36" s="58">
        <v>31</v>
      </c>
      <c r="B36" s="58" t="s">
        <v>34</v>
      </c>
      <c r="C36" s="39" t="str">
        <f>IF(ABS('Depreciation Schedule'!H21-'The 3-Statement Projection'!G18)&lt;0.05,"PASS","FAIL")</f>
        <v>PASS</v>
      </c>
      <c r="D36" s="39">
        <f>'Depreciation Schedule'!H21-'The 3-Statement Projection'!G18</f>
        <v>0</v>
      </c>
    </row>
    <row r="37" spans="1:4" ht="19.95" customHeight="1" x14ac:dyDescent="0.3">
      <c r="A37" s="58"/>
      <c r="B37" s="58"/>
      <c r="C37" s="39"/>
      <c r="D37" s="39"/>
    </row>
    <row r="38" spans="1:4" ht="19.95" customHeight="1" x14ac:dyDescent="0.3">
      <c r="A38" s="58"/>
      <c r="B38" s="163" t="s">
        <v>35</v>
      </c>
      <c r="C38" s="39"/>
      <c r="D38" s="39"/>
    </row>
    <row r="39" spans="1:4" ht="19.95" customHeight="1" x14ac:dyDescent="0.3">
      <c r="A39" s="159">
        <v>34</v>
      </c>
      <c r="B39" s="66" t="s">
        <v>36</v>
      </c>
      <c r="C39" s="39" t="str">
        <f>IF(ABS(Dashboard!D6-'The 3-Statement Projection'!C6)&lt;0.01,"PASS","FAIL")</f>
        <v>PASS</v>
      </c>
      <c r="D39" s="39">
        <f>Dashboard!D6-'The 3-Statement Projection'!C6</f>
        <v>0</v>
      </c>
    </row>
    <row r="40" spans="1:4" ht="19.95" customHeight="1" x14ac:dyDescent="0.3">
      <c r="A40" s="58">
        <v>35</v>
      </c>
      <c r="B40" s="58" t="s">
        <v>37</v>
      </c>
      <c r="C40" s="39" t="str">
        <f>IF(ABS(Dashboard!E6-'The 3-Statement Projection'!D6)&lt;0.01,"PASS","FAIL")</f>
        <v>PASS</v>
      </c>
      <c r="D40" s="39">
        <f>Dashboard!E6-'The 3-Statement Projection'!D6</f>
        <v>0</v>
      </c>
    </row>
    <row r="41" spans="1:4" ht="19.95" customHeight="1" x14ac:dyDescent="0.3">
      <c r="A41" s="58">
        <v>36</v>
      </c>
      <c r="B41" s="58" t="s">
        <v>38</v>
      </c>
      <c r="C41" s="39" t="str">
        <f>IF(ABS(Dashboard!F6-'The 3-Statement Projection'!E6)&lt;0.01,"PASS","FAIL")</f>
        <v>PASS</v>
      </c>
      <c r="D41" s="39">
        <f>Dashboard!F6-'The 3-Statement Projection'!E6</f>
        <v>0</v>
      </c>
    </row>
    <row r="42" spans="1:4" ht="19.95" customHeight="1" x14ac:dyDescent="0.3">
      <c r="A42" s="58">
        <v>37</v>
      </c>
      <c r="B42" s="58" t="s">
        <v>39</v>
      </c>
      <c r="C42" s="39" t="str">
        <f>IF(ABS(Dashboard!G6-'The 3-Statement Projection'!F6)&lt;0.01,"PASS","FAIL")</f>
        <v>PASS</v>
      </c>
      <c r="D42" s="39">
        <f>Dashboard!G6-'The 3-Statement Projection'!F6</f>
        <v>0</v>
      </c>
    </row>
    <row r="43" spans="1:4" ht="19.95" customHeight="1" x14ac:dyDescent="0.3">
      <c r="A43" s="58">
        <v>38</v>
      </c>
      <c r="B43" s="58" t="s">
        <v>40</v>
      </c>
      <c r="C43" s="39" t="str">
        <f>IF(ABS(Dashboard!H6-'The 3-Statement Projection'!G6)&lt;0.01,"PASS","FAIL")</f>
        <v>PASS</v>
      </c>
      <c r="D43" s="39">
        <f>Dashboard!H6-'The 3-Statement Projection'!G6</f>
        <v>0</v>
      </c>
    </row>
    <row r="44" spans="1:4" ht="19.95" customHeight="1" x14ac:dyDescent="0.3">
      <c r="A44" s="58"/>
      <c r="B44" s="58"/>
      <c r="C44" s="39"/>
      <c r="D44" s="39"/>
    </row>
    <row r="45" spans="1:4" ht="19.95" customHeight="1" x14ac:dyDescent="0.3">
      <c r="A45" s="48"/>
      <c r="B45" s="66" t="s">
        <v>41</v>
      </c>
      <c r="C45" s="39"/>
      <c r="D45" s="39"/>
    </row>
    <row r="46" spans="1:4" ht="19.95" customHeight="1" x14ac:dyDescent="0.3">
      <c r="A46" s="58">
        <v>41</v>
      </c>
      <c r="B46" s="58" t="s">
        <v>42</v>
      </c>
      <c r="C46" s="39" t="str">
        <f ca="1">IF(ABS('Debt Schedule'!E25-'The 3-Statement Projection'!D21)&lt;0.05,"PASS","FAIL")</f>
        <v>PASS</v>
      </c>
      <c r="D46" s="39">
        <f ca="1">'Debt Schedule'!E25-'The 3-Statement Projection'!D21</f>
        <v>0</v>
      </c>
    </row>
    <row r="47" spans="1:4" ht="19.95" customHeight="1" x14ac:dyDescent="0.3">
      <c r="A47" s="58">
        <v>42</v>
      </c>
      <c r="B47" s="58" t="s">
        <v>43</v>
      </c>
      <c r="C47" s="39" t="str">
        <f ca="1">IF(ABS('Debt Schedule'!F25-'The 3-Statement Projection'!E21)&lt;0.05,"PASS","FAIL")</f>
        <v>PASS</v>
      </c>
      <c r="D47" s="39">
        <f ca="1">'Debt Schedule'!F25-'The 3-Statement Projection'!E21</f>
        <v>0</v>
      </c>
    </row>
    <row r="48" spans="1:4" ht="19.95" customHeight="1" x14ac:dyDescent="0.3">
      <c r="A48" s="58">
        <v>43</v>
      </c>
      <c r="B48" s="58" t="s">
        <v>44</v>
      </c>
      <c r="C48" s="39" t="str">
        <f ca="1">IF(ABS('Debt Schedule'!G25-'The 3-Statement Projection'!F21)&lt;0.05,"PASS","FAIL")</f>
        <v>PASS</v>
      </c>
      <c r="D48" s="39">
        <f ca="1">'Debt Schedule'!G25-'The 3-Statement Projection'!F21</f>
        <v>0</v>
      </c>
    </row>
    <row r="49" spans="1:4" ht="19.95" customHeight="1" x14ac:dyDescent="0.3">
      <c r="A49" s="58">
        <v>44</v>
      </c>
      <c r="B49" s="58" t="s">
        <v>45</v>
      </c>
      <c r="C49" s="39" t="str">
        <f ca="1">IF(ABS('Debt Schedule'!H25-'The 3-Statement Projection'!G21)&lt;0.05,"PASS","FAIL")</f>
        <v>PASS</v>
      </c>
      <c r="D49" s="39">
        <f ca="1">'Debt Schedule'!H25-'The 3-Statement Projection'!G21</f>
        <v>0</v>
      </c>
    </row>
    <row r="50" spans="1:4" ht="19.95" customHeight="1" x14ac:dyDescent="0.3">
      <c r="A50" s="58"/>
      <c r="B50" s="58"/>
      <c r="C50" s="39"/>
      <c r="D50" s="39"/>
    </row>
    <row r="51" spans="1:4" ht="19.95" customHeight="1" x14ac:dyDescent="0.3">
      <c r="A51" s="48"/>
      <c r="B51" s="158" t="s">
        <v>46</v>
      </c>
      <c r="C51" s="39"/>
      <c r="D51" s="39"/>
    </row>
    <row r="52" spans="1:4" ht="19.95" customHeight="1" x14ac:dyDescent="0.3">
      <c r="A52" s="159">
        <v>47</v>
      </c>
      <c r="B52" s="159" t="s">
        <v>47</v>
      </c>
      <c r="C52" s="39" t="str">
        <f>IF(ABS('The 3-Statement Projection'!D7)&lt;0.5,"PASS","FAIL")</f>
        <v>PASS</v>
      </c>
      <c r="D52" s="40">
        <f>'The 3-Statement Projection'!D7</f>
        <v>0.11210268449327027</v>
      </c>
    </row>
    <row r="53" spans="1:4" ht="19.95" customHeight="1" x14ac:dyDescent="0.3">
      <c r="A53" s="159">
        <v>48</v>
      </c>
      <c r="B53" s="159" t="s">
        <v>48</v>
      </c>
      <c r="C53" s="39" t="str">
        <f>IF(AND('The 3-Statement Projection'!D16&gt;0.05,'The 3-Statement Projection'!D16&lt;0.3),"PASS","FAIL")</f>
        <v>PASS</v>
      </c>
      <c r="D53" s="40">
        <f>'The 3-Statement Projection'!D16</f>
        <v>0.18247245056367206</v>
      </c>
    </row>
    <row r="54" spans="1:4" ht="19.95" customHeight="1" x14ac:dyDescent="0.3">
      <c r="A54" s="48"/>
      <c r="B54" s="48"/>
      <c r="C54" s="39"/>
      <c r="D54" s="39"/>
    </row>
    <row r="55" spans="1:4" ht="19.95" customHeight="1" x14ac:dyDescent="0.3">
      <c r="A55" s="48"/>
      <c r="B55" s="48"/>
      <c r="C55" s="39"/>
      <c r="D55" s="39"/>
    </row>
    <row r="56" spans="1:4" ht="19.95" customHeight="1" x14ac:dyDescent="0.3">
      <c r="A56" s="48"/>
      <c r="B56" s="60" t="s">
        <v>49</v>
      </c>
      <c r="C56" s="39"/>
      <c r="D56" s="39"/>
    </row>
    <row r="57" spans="1:4" ht="19.95" customHeight="1" x14ac:dyDescent="0.3">
      <c r="A57" s="48"/>
      <c r="B57" s="66" t="s">
        <v>1152</v>
      </c>
      <c r="C57" s="39"/>
      <c r="D57" s="39"/>
    </row>
    <row r="58" spans="1:4" ht="19.95" customHeight="1" x14ac:dyDescent="0.3">
      <c r="A58" s="58">
        <v>8</v>
      </c>
      <c r="B58" s="58" t="s">
        <v>1155</v>
      </c>
      <c r="C58" s="39" t="str">
        <f ca="1">IF(ABS('The 3-Statement Projection'!H105)&lt;0.05,"PASS","FAIL")</f>
        <v>PASS</v>
      </c>
      <c r="D58" s="43">
        <f ca="1">'The 3-Statement Projection'!H105</f>
        <v>0</v>
      </c>
    </row>
    <row r="59" spans="1:4" ht="19.95" customHeight="1" x14ac:dyDescent="0.3">
      <c r="A59" s="58">
        <v>9</v>
      </c>
      <c r="B59" s="58" t="s">
        <v>1156</v>
      </c>
      <c r="C59" s="39" t="str">
        <f ca="1">IF(ABS('The 3-Statement Projection'!I105)&lt;0.05,"PASS","FAIL")</f>
        <v>PASS</v>
      </c>
      <c r="D59" s="43">
        <f ca="1">'The 3-Statement Projection'!I105</f>
        <v>0</v>
      </c>
    </row>
    <row r="60" spans="1:4" ht="19.95" customHeight="1" x14ac:dyDescent="0.3">
      <c r="A60" s="58">
        <v>10</v>
      </c>
      <c r="B60" s="58" t="s">
        <v>1157</v>
      </c>
      <c r="C60" s="39" t="str">
        <f ca="1">IF(ABS('The 3-Statement Projection'!J105)&lt;0.05,"PASS","FAIL")</f>
        <v>PASS</v>
      </c>
      <c r="D60" s="43">
        <f ca="1">'The 3-Statement Projection'!J105</f>
        <v>0</v>
      </c>
    </row>
    <row r="61" spans="1:4" ht="19.95" customHeight="1" x14ac:dyDescent="0.3">
      <c r="A61" s="58">
        <v>11</v>
      </c>
      <c r="B61" s="58" t="s">
        <v>1158</v>
      </c>
      <c r="C61" s="39" t="str">
        <f ca="1">IF(ABS('The 3-Statement Projection'!K105)&lt;0.05,"PASS","FAIL")</f>
        <v>PASS</v>
      </c>
      <c r="D61" s="43">
        <f ca="1">'The 3-Statement Projection'!K105</f>
        <v>0</v>
      </c>
    </row>
    <row r="62" spans="1:4" ht="19.95" customHeight="1" x14ac:dyDescent="0.3">
      <c r="A62" s="58"/>
      <c r="B62" s="65" t="s">
        <v>1153</v>
      </c>
      <c r="C62" s="39"/>
      <c r="D62" s="43"/>
    </row>
    <row r="63" spans="1:4" ht="19.95" customHeight="1" x14ac:dyDescent="0.3">
      <c r="A63" s="58">
        <v>12</v>
      </c>
      <c r="B63" s="58" t="s">
        <v>1159</v>
      </c>
      <c r="C63" s="39" t="str">
        <f ca="1">IF(ABS('The 3-Statement Projection'!H102-'The 3-Statement Projection'!H67)&lt;0.05,"PASS","FAIL")</f>
        <v>PASS</v>
      </c>
      <c r="D63" s="43">
        <f ca="1">'The 3-Statement Projection'!H102-'The 3-Statement Projection'!H67</f>
        <v>0</v>
      </c>
    </row>
    <row r="64" spans="1:4" ht="19.95" customHeight="1" x14ac:dyDescent="0.3">
      <c r="A64" s="58">
        <v>13</v>
      </c>
      <c r="B64" s="58" t="s">
        <v>1160</v>
      </c>
      <c r="C64" s="39" t="str">
        <f ca="1">IF(ABS('The 3-Statement Projection'!I102-'The 3-Statement Projection'!I67)&lt;0.05,"PASS","FAIL")</f>
        <v>PASS</v>
      </c>
      <c r="D64" s="39">
        <f ca="1">'The 3-Statement Projection'!I102-'The 3-Statement Projection'!I67</f>
        <v>0</v>
      </c>
    </row>
    <row r="65" spans="1:4" ht="19.95" customHeight="1" x14ac:dyDescent="0.3">
      <c r="A65" s="58">
        <v>14</v>
      </c>
      <c r="B65" s="58" t="s">
        <v>1161</v>
      </c>
      <c r="C65" s="39" t="str">
        <f ca="1">IF(ABS('The 3-Statement Projection'!J102-'The 3-Statement Projection'!J67)&lt;0.05,"PASS","FAIL")</f>
        <v>PASS</v>
      </c>
      <c r="D65" s="39">
        <f ca="1">'The 3-Statement Projection'!J102-'The 3-Statement Projection'!J67</f>
        <v>0</v>
      </c>
    </row>
    <row r="66" spans="1:4" ht="19.95" customHeight="1" x14ac:dyDescent="0.3">
      <c r="A66" s="58">
        <v>15</v>
      </c>
      <c r="B66" s="163" t="s">
        <v>1162</v>
      </c>
      <c r="C66" s="39" t="str">
        <f ca="1">IF(ABS('The 3-Statement Projection'!K102-'The 3-Statement Projection'!K67)&lt;0.05,"PASS","FAIL")</f>
        <v>PASS</v>
      </c>
      <c r="D66" s="39">
        <f ca="1">'The 3-Statement Projection'!K102-'The 3-Statement Projection'!K67</f>
        <v>0</v>
      </c>
    </row>
    <row r="67" spans="1:4" ht="19.95" customHeight="1" x14ac:dyDescent="0.3">
      <c r="A67" s="58"/>
      <c r="B67" s="65" t="s">
        <v>1154</v>
      </c>
      <c r="C67" s="39"/>
      <c r="D67" s="39"/>
    </row>
    <row r="68" spans="1:4" ht="19.95" customHeight="1" x14ac:dyDescent="0.3">
      <c r="A68" s="58">
        <v>16</v>
      </c>
      <c r="B68" s="58" t="s">
        <v>1163</v>
      </c>
      <c r="C68" s="39" t="str">
        <f>IF(ABS('Depreciation Schedule'!I21-'The 3-Statement Projection'!H18)&lt;0.05,"PASS","FAIL")</f>
        <v>PASS</v>
      </c>
      <c r="D68" s="39">
        <f>'Depreciation Schedule'!I21-'The 3-Statement Projection'!H18</f>
        <v>0</v>
      </c>
    </row>
    <row r="69" spans="1:4" ht="19.95" customHeight="1" x14ac:dyDescent="0.3">
      <c r="A69" s="58">
        <v>17</v>
      </c>
      <c r="B69" s="58" t="s">
        <v>1164</v>
      </c>
      <c r="C69" s="39" t="str">
        <f>IF(ABS('Depreciation Schedule'!J21-'The 3-Statement Projection'!I18)&lt;0.05,"PASS","FAIL")</f>
        <v>PASS</v>
      </c>
      <c r="D69" s="39">
        <f>'Depreciation Schedule'!J21-'The 3-Statement Projection'!I18</f>
        <v>0</v>
      </c>
    </row>
    <row r="70" spans="1:4" ht="19.95" customHeight="1" x14ac:dyDescent="0.3">
      <c r="A70" s="58">
        <v>18</v>
      </c>
      <c r="B70" s="58" t="s">
        <v>1165</v>
      </c>
      <c r="C70" s="39" t="str">
        <f>IF(ABS('Depreciation Schedule'!K21-'The 3-Statement Projection'!J18)&lt;0.05,"PASS","FAIL")</f>
        <v>PASS</v>
      </c>
      <c r="D70" s="39">
        <f>'Depreciation Schedule'!K21-'The 3-Statement Projection'!J18</f>
        <v>0</v>
      </c>
    </row>
    <row r="71" spans="1:4" ht="19.95" customHeight="1" x14ac:dyDescent="0.3">
      <c r="A71" s="58">
        <v>19</v>
      </c>
      <c r="B71" s="58" t="s">
        <v>1166</v>
      </c>
      <c r="C71" s="39" t="str">
        <f>IF(ABS('Depreciation Schedule'!L21-'The 3-Statement Projection'!K18)&lt;0.05,"PASS","FAIL")</f>
        <v>PASS</v>
      </c>
      <c r="D71" s="39">
        <f>'Depreciation Schedule'!L21-'The 3-Statement Projection'!K18</f>
        <v>0</v>
      </c>
    </row>
    <row r="73" spans="1:4" x14ac:dyDescent="0.3">
      <c r="B73" s="65" t="s">
        <v>1355</v>
      </c>
    </row>
    <row r="74" spans="1:4" x14ac:dyDescent="0.3">
      <c r="A74" s="58">
        <v>20</v>
      </c>
      <c r="B74" s="58" t="s">
        <v>1356</v>
      </c>
      <c r="C74" s="840" t="str">
        <f>IF(ABS('Production &amp; Offtake'!E33-'The 3-Statement Projection'!D6)&lt;0.05,"PASS","FAIL")</f>
        <v>PASS</v>
      </c>
      <c r="D74" s="841">
        <f>'Production &amp; Offtake'!E33-'The 3-Statement Projection'!D6</f>
        <v>0</v>
      </c>
    </row>
    <row r="75" spans="1:4" x14ac:dyDescent="0.3">
      <c r="A75" s="58">
        <v>21</v>
      </c>
      <c r="B75" s="58" t="s">
        <v>1357</v>
      </c>
      <c r="C75" s="840" t="str">
        <f>IF(ABS('Production &amp; Offtake'!F33-'The 3-Statement Projection'!E6)&lt;0.05,"PASS","FAIL")</f>
        <v>PASS</v>
      </c>
      <c r="D75" s="841">
        <f>'Production &amp; Offtake'!F33-'The 3-Statement Projection'!E6</f>
        <v>0</v>
      </c>
    </row>
    <row r="76" spans="1:4" x14ac:dyDescent="0.3">
      <c r="A76" s="58">
        <v>22</v>
      </c>
      <c r="B76" s="58" t="s">
        <v>1358</v>
      </c>
      <c r="C76" s="840" t="str">
        <f>IF(ABS('Working Capital Schedule'!E15-'WACC &amp; DCF Valuation'!D43)&lt;0.05,"PASS","FAIL")</f>
        <v>PASS</v>
      </c>
      <c r="D76" s="841">
        <f>'Working Capital Schedule'!E15-'WACC &amp; DCF Valuation'!D43</f>
        <v>0</v>
      </c>
    </row>
    <row r="77" spans="1:4" x14ac:dyDescent="0.3">
      <c r="A77" s="58">
        <v>23</v>
      </c>
      <c r="B77" s="58" t="s">
        <v>1359</v>
      </c>
      <c r="C77" s="840" t="str">
        <f>IF(ABS('Working Capital Schedule'!F15-'WACC &amp; DCF Valuation'!E43)&lt;0.05,"PASS","FAIL")</f>
        <v>PASS</v>
      </c>
      <c r="D77" s="841">
        <f>'Working Capital Schedule'!F15-'WACC &amp; DCF Valuation'!E43</f>
        <v>0</v>
      </c>
    </row>
    <row r="79" spans="1:4" x14ac:dyDescent="0.3">
      <c r="B79" s="65" t="s">
        <v>1360</v>
      </c>
    </row>
    <row r="80" spans="1:4" x14ac:dyDescent="0.3">
      <c r="A80" s="58">
        <v>24</v>
      </c>
      <c r="B80" s="58" t="s">
        <v>1361</v>
      </c>
      <c r="C80" s="840" t="str">
        <f ca="1">IF(MIN('DSCR Covenant Tracker'!D19:K19)&gt;=1.2,"PASS","FAIL")</f>
        <v>PASS</v>
      </c>
      <c r="D80" s="842">
        <f ca="1">MIN('DSCR Covenant Tracker'!D19:K19)</f>
        <v>1.3530564536857181</v>
      </c>
    </row>
    <row r="81" spans="1:4" x14ac:dyDescent="0.3">
      <c r="A81" s="58">
        <v>25</v>
      </c>
      <c r="B81" s="58" t="s">
        <v>1362</v>
      </c>
      <c r="C81" s="840" t="str">
        <f ca="1">IF(MIN('The 3-Statement Projection'!D67:K67)&gt;=0,"PASS","FAIL")</f>
        <v>PASS</v>
      </c>
      <c r="D81" s="841">
        <f ca="1">MIN('The 3-Statement Projection'!D67:K67)</f>
        <v>20</v>
      </c>
    </row>
    <row r="82" spans="1:4" x14ac:dyDescent="0.3">
      <c r="A82" s="58">
        <v>26</v>
      </c>
      <c r="B82" s="58" t="s">
        <v>1363</v>
      </c>
      <c r="C82" s="840" t="str">
        <f ca="1">IF(ABS('The 3-Statement Projection'!D72-'The 3-Statement Projection'!D52)&lt;0.05,"PASS","FAIL")</f>
        <v>PASS</v>
      </c>
      <c r="D82" s="841">
        <f ca="1">'The 3-Statement Projection'!D72-'The 3-Statement Projection'!D52</f>
        <v>0</v>
      </c>
    </row>
  </sheetData>
  <mergeCells count="1">
    <mergeCell ref="B1: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89"/>
  <sheetViews>
    <sheetView showGridLines="0" zoomScale="95" zoomScaleNormal="100" workbookViewId="0">
      <pane ySplit="3" topLeftCell="A13" activePane="bottomLeft" state="frozen"/>
      <selection pane="bottomLeft" activeCell="C14" sqref="C14"/>
    </sheetView>
  </sheetViews>
  <sheetFormatPr defaultColWidth="8.6640625" defaultRowHeight="14.4" x14ac:dyDescent="0.3"/>
  <cols>
    <col min="1" max="4" width="27.77734375" customWidth="1"/>
    <col min="5" max="5" width="134.6640625" bestFit="1" customWidth="1"/>
  </cols>
  <sheetData>
    <row r="1" spans="1:5" ht="24" customHeight="1" x14ac:dyDescent="0.3">
      <c r="A1" s="164" t="s">
        <v>50</v>
      </c>
      <c r="B1" s="79"/>
      <c r="C1" s="79"/>
      <c r="D1" s="79"/>
      <c r="E1" s="79"/>
    </row>
    <row r="2" spans="1:5" ht="18" customHeight="1" x14ac:dyDescent="0.3">
      <c r="A2" s="60" t="s">
        <v>51</v>
      </c>
      <c r="B2" s="60"/>
      <c r="C2" s="60"/>
      <c r="D2" s="60"/>
      <c r="E2" s="60"/>
    </row>
    <row r="3" spans="1:5" ht="15" customHeight="1" x14ac:dyDescent="0.3">
      <c r="A3" s="165" t="s">
        <v>52</v>
      </c>
      <c r="B3" s="203" t="s">
        <v>53</v>
      </c>
      <c r="C3" s="166" t="s">
        <v>54</v>
      </c>
      <c r="D3" s="165"/>
      <c r="E3" s="165"/>
    </row>
    <row r="4" spans="1:5" ht="14.25" customHeight="1" x14ac:dyDescent="0.3">
      <c r="A4" s="36"/>
      <c r="B4" s="36"/>
      <c r="C4" s="36"/>
      <c r="D4" s="36"/>
      <c r="E4" s="36"/>
    </row>
    <row r="5" spans="1:5" ht="14.25" customHeight="1" x14ac:dyDescent="0.3">
      <c r="A5" s="66" t="s">
        <v>55</v>
      </c>
      <c r="B5" s="66"/>
      <c r="C5" s="66"/>
      <c r="D5" s="66"/>
      <c r="E5" s="66"/>
    </row>
    <row r="6" spans="1:5" ht="14.25" customHeight="1" x14ac:dyDescent="0.3">
      <c r="A6" s="162" t="s">
        <v>56</v>
      </c>
      <c r="B6" s="168" t="s">
        <v>57</v>
      </c>
      <c r="C6" s="169" t="s">
        <v>53</v>
      </c>
      <c r="D6" s="170" t="s">
        <v>58</v>
      </c>
      <c r="E6" s="171" t="s">
        <v>59</v>
      </c>
    </row>
    <row r="7" spans="1:5" ht="14.25" customHeight="1" x14ac:dyDescent="0.3">
      <c r="A7" s="36" t="s">
        <v>60</v>
      </c>
      <c r="B7" s="176">
        <v>0.79</v>
      </c>
      <c r="C7" s="173">
        <v>0.82</v>
      </c>
      <c r="D7" s="176">
        <v>0.85</v>
      </c>
      <c r="E7" s="74" t="s">
        <v>61</v>
      </c>
    </row>
    <row r="8" spans="1:5" ht="14.25" customHeight="1" x14ac:dyDescent="0.3">
      <c r="A8" s="36" t="s">
        <v>62</v>
      </c>
      <c r="B8" s="176">
        <v>8.8000000000000005E-3</v>
      </c>
      <c r="C8" s="176">
        <v>9.2999999999999992E-3</v>
      </c>
      <c r="D8" s="176">
        <v>0.01</v>
      </c>
      <c r="E8" s="74" t="s">
        <v>63</v>
      </c>
    </row>
    <row r="9" spans="1:5" ht="14.25" customHeight="1" x14ac:dyDescent="0.3">
      <c r="A9" s="36" t="s">
        <v>64</v>
      </c>
      <c r="B9" s="176">
        <v>3.5000000000000003E-2</v>
      </c>
      <c r="C9" s="173">
        <v>3.7400000000000003E-2</v>
      </c>
      <c r="D9" s="176">
        <v>0.04</v>
      </c>
      <c r="E9" s="74" t="s">
        <v>65</v>
      </c>
    </row>
    <row r="10" spans="1:5" ht="14.25" customHeight="1" x14ac:dyDescent="0.3">
      <c r="A10" s="36" t="s">
        <v>66</v>
      </c>
      <c r="B10" s="177">
        <v>82</v>
      </c>
      <c r="C10" s="177">
        <v>85</v>
      </c>
      <c r="D10" s="177">
        <v>91</v>
      </c>
      <c r="E10" s="74" t="s">
        <v>67</v>
      </c>
    </row>
    <row r="11" spans="1:5" ht="14.25" customHeight="1" x14ac:dyDescent="0.3">
      <c r="A11" s="36" t="s">
        <v>68</v>
      </c>
      <c r="B11" s="177">
        <v>150</v>
      </c>
      <c r="C11" s="177">
        <v>170</v>
      </c>
      <c r="D11" s="177">
        <v>210</v>
      </c>
      <c r="E11" s="74" t="s">
        <v>69</v>
      </c>
    </row>
    <row r="12" spans="1:5" ht="14.25" customHeight="1" x14ac:dyDescent="0.3">
      <c r="A12" s="850" t="s">
        <v>70</v>
      </c>
      <c r="B12" s="851">
        <v>1.4</v>
      </c>
      <c r="C12" s="851">
        <v>1.4</v>
      </c>
      <c r="D12" s="851">
        <v>1.4</v>
      </c>
      <c r="E12" s="74" t="s">
        <v>71</v>
      </c>
    </row>
    <row r="13" spans="1:5" ht="14.25" customHeight="1" x14ac:dyDescent="0.3">
      <c r="A13" s="36" t="s">
        <v>72</v>
      </c>
      <c r="B13" s="177">
        <v>8000</v>
      </c>
      <c r="C13" s="177">
        <v>8470</v>
      </c>
      <c r="D13" s="177">
        <v>9000</v>
      </c>
      <c r="E13" s="74" t="s">
        <v>73</v>
      </c>
    </row>
    <row r="14" spans="1:5" ht="14.25" customHeight="1" x14ac:dyDescent="0.3">
      <c r="A14" s="36" t="s">
        <v>74</v>
      </c>
      <c r="B14" s="173">
        <v>0.02</v>
      </c>
      <c r="C14" s="173">
        <v>3.243E-2</v>
      </c>
      <c r="D14" s="173">
        <v>0.04</v>
      </c>
      <c r="E14" s="74" t="s">
        <v>75</v>
      </c>
    </row>
    <row r="15" spans="1:5" ht="14.25" customHeight="1" x14ac:dyDescent="0.3">
      <c r="A15" s="36"/>
      <c r="B15" s="36"/>
      <c r="C15" s="36"/>
      <c r="D15" s="36"/>
      <c r="E15" s="36"/>
    </row>
    <row r="16" spans="1:5" ht="14.25" customHeight="1" x14ac:dyDescent="0.3">
      <c r="A16" s="167" t="s">
        <v>76</v>
      </c>
      <c r="B16" s="113"/>
      <c r="C16" s="113"/>
      <c r="D16" s="113"/>
      <c r="E16" s="113"/>
    </row>
    <row r="17" spans="1:5" ht="14.25" customHeight="1" x14ac:dyDescent="0.3">
      <c r="A17" s="843" t="s">
        <v>56</v>
      </c>
      <c r="B17" s="855" t="s">
        <v>57</v>
      </c>
      <c r="C17" s="855" t="s">
        <v>53</v>
      </c>
      <c r="D17" s="855" t="s">
        <v>58</v>
      </c>
      <c r="E17" s="843" t="s">
        <v>59</v>
      </c>
    </row>
    <row r="18" spans="1:5" ht="14.25" customHeight="1" x14ac:dyDescent="0.3">
      <c r="A18" s="36" t="s">
        <v>77</v>
      </c>
      <c r="B18" s="178">
        <v>30</v>
      </c>
      <c r="C18" s="179">
        <v>35</v>
      </c>
      <c r="D18" s="180">
        <v>45</v>
      </c>
      <c r="E18" s="74" t="s">
        <v>78</v>
      </c>
    </row>
    <row r="19" spans="1:5" ht="14.25" customHeight="1" x14ac:dyDescent="0.3">
      <c r="A19" s="36" t="s">
        <v>79</v>
      </c>
      <c r="B19" s="178">
        <v>40</v>
      </c>
      <c r="C19" s="179">
        <v>45</v>
      </c>
      <c r="D19" s="180">
        <v>55</v>
      </c>
      <c r="E19" s="74" t="s">
        <v>80</v>
      </c>
    </row>
    <row r="20" spans="1:5" ht="14.25" customHeight="1" x14ac:dyDescent="0.3">
      <c r="A20" s="36" t="s">
        <v>81</v>
      </c>
      <c r="B20" s="178">
        <v>45</v>
      </c>
      <c r="C20" s="179">
        <v>40</v>
      </c>
      <c r="D20" s="180">
        <v>35</v>
      </c>
      <c r="E20" s="74" t="s">
        <v>82</v>
      </c>
    </row>
    <row r="21" spans="1:5" ht="14.25" customHeight="1" x14ac:dyDescent="0.3">
      <c r="A21" s="36"/>
      <c r="B21" s="36"/>
      <c r="C21" s="36"/>
      <c r="D21" s="36"/>
      <c r="E21" s="36"/>
    </row>
    <row r="22" spans="1:5" ht="14.25" customHeight="1" x14ac:dyDescent="0.3">
      <c r="A22" s="66" t="s">
        <v>83</v>
      </c>
      <c r="B22" s="66"/>
      <c r="C22" s="66"/>
      <c r="D22" s="66"/>
      <c r="E22" s="66"/>
    </row>
    <row r="23" spans="1:5" ht="14.25" customHeight="1" x14ac:dyDescent="0.3">
      <c r="A23" s="162" t="s">
        <v>56</v>
      </c>
      <c r="B23" s="168" t="s">
        <v>57</v>
      </c>
      <c r="C23" s="169" t="s">
        <v>53</v>
      </c>
      <c r="D23" s="170" t="s">
        <v>58</v>
      </c>
      <c r="E23" s="171" t="s">
        <v>59</v>
      </c>
    </row>
    <row r="24" spans="1:5" ht="14.25" customHeight="1" x14ac:dyDescent="0.3">
      <c r="A24" s="36"/>
      <c r="B24" s="36"/>
      <c r="C24" s="36"/>
      <c r="D24" s="36"/>
      <c r="E24" s="36"/>
    </row>
    <row r="25" spans="1:5" ht="14.25" customHeight="1" x14ac:dyDescent="0.3">
      <c r="A25" s="167" t="s">
        <v>84</v>
      </c>
      <c r="B25" s="113"/>
      <c r="C25" s="113"/>
      <c r="D25" s="113"/>
      <c r="E25" s="113"/>
    </row>
    <row r="26" spans="1:5" ht="14.25" customHeight="1" x14ac:dyDescent="0.3">
      <c r="A26" s="162" t="s">
        <v>56</v>
      </c>
      <c r="B26" s="168" t="s">
        <v>57</v>
      </c>
      <c r="C26" s="169" t="s">
        <v>53</v>
      </c>
      <c r="D26" s="170" t="s">
        <v>58</v>
      </c>
      <c r="E26" s="171" t="s">
        <v>59</v>
      </c>
    </row>
    <row r="27" spans="1:5" ht="14.25" customHeight="1" x14ac:dyDescent="0.3">
      <c r="A27" s="843" t="s">
        <v>85</v>
      </c>
      <c r="B27" s="856">
        <v>8.5000000000000006E-2</v>
      </c>
      <c r="C27" s="856">
        <v>0.09</v>
      </c>
      <c r="D27" s="856">
        <v>0.1</v>
      </c>
      <c r="E27" s="74" t="s">
        <v>86</v>
      </c>
    </row>
    <row r="28" spans="1:5" ht="14.25" customHeight="1" x14ac:dyDescent="0.3">
      <c r="A28" s="36"/>
      <c r="B28" s="36"/>
      <c r="C28" s="36"/>
      <c r="D28" s="36"/>
      <c r="E28" s="36"/>
    </row>
    <row r="29" spans="1:5" ht="14.25" customHeight="1" x14ac:dyDescent="0.3">
      <c r="A29" s="167" t="s">
        <v>87</v>
      </c>
      <c r="B29" s="113"/>
      <c r="C29" s="113"/>
      <c r="D29" s="113"/>
      <c r="E29" s="113"/>
    </row>
    <row r="30" spans="1:5" ht="14.25" customHeight="1" x14ac:dyDescent="0.3">
      <c r="A30" s="66" t="s">
        <v>56</v>
      </c>
      <c r="B30" s="34" t="s">
        <v>57</v>
      </c>
      <c r="C30" s="34" t="s">
        <v>53</v>
      </c>
      <c r="D30" s="34" t="s">
        <v>58</v>
      </c>
      <c r="E30" s="66" t="s">
        <v>59</v>
      </c>
    </row>
    <row r="31" spans="1:5" ht="14.25" customHeight="1" x14ac:dyDescent="0.3">
      <c r="A31" s="36" t="s">
        <v>88</v>
      </c>
      <c r="B31" s="172">
        <v>0.02</v>
      </c>
      <c r="C31" s="173">
        <v>0</v>
      </c>
      <c r="D31" s="174">
        <v>0</v>
      </c>
      <c r="E31" s="74" t="s">
        <v>89</v>
      </c>
    </row>
    <row r="32" spans="1:5" ht="14.25" customHeight="1" x14ac:dyDescent="0.3">
      <c r="A32" s="36" t="s">
        <v>90</v>
      </c>
      <c r="B32" s="181">
        <v>0.8</v>
      </c>
      <c r="C32" s="182">
        <v>0.85</v>
      </c>
      <c r="D32" s="183">
        <v>0.95</v>
      </c>
      <c r="E32" s="74" t="s">
        <v>91</v>
      </c>
    </row>
    <row r="33" spans="1:5" ht="14.25" customHeight="1" x14ac:dyDescent="0.3">
      <c r="A33" s="36" t="s">
        <v>92</v>
      </c>
      <c r="B33" s="172">
        <f>B27</f>
        <v>8.5000000000000006E-2</v>
      </c>
      <c r="C33" s="173">
        <f>C27</f>
        <v>0.09</v>
      </c>
      <c r="D33" s="174">
        <f>D27</f>
        <v>0.1</v>
      </c>
      <c r="E33" s="74" t="s">
        <v>93</v>
      </c>
    </row>
    <row r="34" spans="1:5" ht="14.25" customHeight="1" x14ac:dyDescent="0.3">
      <c r="A34" s="36"/>
      <c r="B34" s="36"/>
      <c r="C34" s="36"/>
      <c r="D34" s="36"/>
      <c r="E34" s="36"/>
    </row>
    <row r="35" spans="1:5" ht="14.25" customHeight="1" x14ac:dyDescent="0.3">
      <c r="A35" s="66" t="s">
        <v>94</v>
      </c>
      <c r="B35" s="66"/>
      <c r="C35" s="66"/>
      <c r="D35" s="66"/>
      <c r="E35" s="66"/>
    </row>
    <row r="36" spans="1:5" ht="14.25" customHeight="1" x14ac:dyDescent="0.3">
      <c r="A36" s="162" t="s">
        <v>95</v>
      </c>
      <c r="B36" s="184">
        <f>'WACC &amp; DCF Valuation'!B32</f>
        <v>0.12514351001725652</v>
      </c>
      <c r="C36" s="162" t="s">
        <v>96</v>
      </c>
      <c r="D36" s="185">
        <f>'WACC &amp; DCF Valuation'!B65</f>
        <v>2114.2459793346434</v>
      </c>
      <c r="E36" s="36"/>
    </row>
    <row r="37" spans="1:5" ht="14.25" customHeight="1" x14ac:dyDescent="0.3">
      <c r="A37" s="162" t="s">
        <v>97</v>
      </c>
      <c r="B37" s="184">
        <f>'WACC &amp; DCF Valuation'!B56</f>
        <v>0</v>
      </c>
      <c r="C37" s="162" t="s">
        <v>98</v>
      </c>
      <c r="D37" s="185">
        <f>'WACC &amp; DCF Valuation'!B76</f>
        <v>1669.3459793346433</v>
      </c>
      <c r="E37" s="36"/>
    </row>
    <row r="38" spans="1:5" ht="18" customHeight="1" x14ac:dyDescent="0.3">
      <c r="A38" s="162" t="s">
        <v>99</v>
      </c>
      <c r="B38" s="185">
        <f>'Assumptions &amp; Drivers'!D10</f>
        <v>1680.3611865727921</v>
      </c>
      <c r="C38" s="162" t="s">
        <v>100</v>
      </c>
      <c r="D38" s="186">
        <f>'WACC &amp; DCF Valuation'!B81</f>
        <v>514.75361681610957</v>
      </c>
      <c r="E38" s="36"/>
    </row>
    <row r="39" spans="1:5" ht="14.25" customHeight="1" x14ac:dyDescent="0.3">
      <c r="A39" s="36"/>
      <c r="B39" s="36"/>
      <c r="C39" s="36"/>
      <c r="D39" s="36"/>
      <c r="E39" s="36"/>
    </row>
    <row r="40" spans="1:5" ht="14.25" customHeight="1" x14ac:dyDescent="0.3">
      <c r="A40" s="187" t="s">
        <v>101</v>
      </c>
      <c r="B40" s="36"/>
      <c r="C40" s="36"/>
      <c r="D40" s="36"/>
      <c r="E40" s="36"/>
    </row>
    <row r="41" spans="1:5" ht="14.25" customHeight="1" x14ac:dyDescent="0.3">
      <c r="A41" s="188" t="s">
        <v>56</v>
      </c>
      <c r="B41" s="188" t="s">
        <v>57</v>
      </c>
      <c r="C41" s="188" t="s">
        <v>53</v>
      </c>
      <c r="D41" s="188" t="s">
        <v>58</v>
      </c>
      <c r="E41" s="188" t="s">
        <v>59</v>
      </c>
    </row>
    <row r="42" spans="1:5" ht="14.25" customHeight="1" x14ac:dyDescent="0.3">
      <c r="A42" s="843" t="s">
        <v>102</v>
      </c>
      <c r="B42" s="843">
        <v>429000</v>
      </c>
      <c r="C42" s="843">
        <v>429000</v>
      </c>
      <c r="D42" s="843">
        <v>429000</v>
      </c>
      <c r="E42" s="74" t="s">
        <v>103</v>
      </c>
    </row>
    <row r="43" spans="1:5" ht="14.25" customHeight="1" x14ac:dyDescent="0.3">
      <c r="A43" s="58" t="s">
        <v>104</v>
      </c>
      <c r="B43" s="73">
        <v>350000</v>
      </c>
      <c r="C43" s="73">
        <v>350000</v>
      </c>
      <c r="D43" s="73">
        <v>350000</v>
      </c>
      <c r="E43" s="74"/>
    </row>
    <row r="44" spans="1:5" ht="14.25" customHeight="1" x14ac:dyDescent="0.3">
      <c r="A44" s="58" t="s">
        <v>105</v>
      </c>
      <c r="B44" s="844">
        <v>0.92</v>
      </c>
      <c r="C44" s="844">
        <v>0.91176599999999997</v>
      </c>
      <c r="D44" s="844">
        <v>0.85</v>
      </c>
      <c r="E44" s="74"/>
    </row>
    <row r="45" spans="1:5" ht="14.25" customHeight="1" x14ac:dyDescent="0.3">
      <c r="A45" s="58" t="s">
        <v>106</v>
      </c>
      <c r="B45" s="73">
        <v>0.5</v>
      </c>
      <c r="C45" s="73">
        <v>0.35</v>
      </c>
      <c r="D45" s="73">
        <v>0.25</v>
      </c>
      <c r="E45" s="74" t="s">
        <v>1364</v>
      </c>
    </row>
    <row r="46" spans="1:5" ht="14.25" customHeight="1" x14ac:dyDescent="0.3">
      <c r="A46" s="58" t="s">
        <v>107</v>
      </c>
      <c r="B46" s="73">
        <v>0.8</v>
      </c>
      <c r="C46" s="73">
        <v>0.7</v>
      </c>
      <c r="D46" s="73">
        <v>0.55000000000000004</v>
      </c>
      <c r="E46" s="74"/>
    </row>
    <row r="47" spans="1:5" ht="14.25" customHeight="1" x14ac:dyDescent="0.3">
      <c r="A47" s="58" t="s">
        <v>108</v>
      </c>
      <c r="B47" s="73">
        <v>0.85</v>
      </c>
      <c r="C47" s="73">
        <v>0.8</v>
      </c>
      <c r="D47" s="73">
        <v>0.7</v>
      </c>
      <c r="E47" s="74"/>
    </row>
    <row r="48" spans="1:5" ht="14.25" customHeight="1" x14ac:dyDescent="0.3">
      <c r="A48" s="58" t="s">
        <v>109</v>
      </c>
      <c r="B48" s="73">
        <v>0.85</v>
      </c>
      <c r="C48" s="73">
        <v>0.8</v>
      </c>
      <c r="D48" s="73">
        <v>0.75</v>
      </c>
      <c r="E48" s="74"/>
    </row>
    <row r="49" spans="1:5" ht="14.25" customHeight="1" x14ac:dyDescent="0.3">
      <c r="A49" s="66" t="s">
        <v>110</v>
      </c>
      <c r="B49" s="66">
        <v>30000</v>
      </c>
      <c r="C49" s="66">
        <v>27000</v>
      </c>
      <c r="D49" s="66">
        <v>24000</v>
      </c>
      <c r="E49" s="205" t="s">
        <v>111</v>
      </c>
    </row>
    <row r="50" spans="1:5" ht="14.25" customHeight="1" x14ac:dyDescent="0.3">
      <c r="A50" s="58" t="s">
        <v>112</v>
      </c>
      <c r="B50" s="73">
        <v>0.03</v>
      </c>
      <c r="C50" s="73">
        <v>0</v>
      </c>
      <c r="D50" s="73">
        <v>0</v>
      </c>
      <c r="E50" s="74" t="s">
        <v>1299</v>
      </c>
    </row>
    <row r="51" spans="1:5" ht="14.25" customHeight="1" x14ac:dyDescent="0.3">
      <c r="A51" s="58" t="s">
        <v>1226</v>
      </c>
      <c r="B51" s="846" t="s">
        <v>1227</v>
      </c>
      <c r="C51" s="847" t="s">
        <v>1227</v>
      </c>
      <c r="D51" s="848" t="s">
        <v>1228</v>
      </c>
      <c r="E51" s="74" t="s">
        <v>1229</v>
      </c>
    </row>
    <row r="52" spans="1:5" ht="14.25" customHeight="1" x14ac:dyDescent="0.3">
      <c r="A52" s="58" t="s">
        <v>113</v>
      </c>
      <c r="B52" s="73">
        <v>222</v>
      </c>
      <c r="C52" s="73">
        <v>222</v>
      </c>
      <c r="D52" s="73">
        <v>200</v>
      </c>
      <c r="E52" s="74" t="s">
        <v>114</v>
      </c>
    </row>
    <row r="53" spans="1:5" ht="14.25" customHeight="1" x14ac:dyDescent="0.3">
      <c r="A53" s="58" t="s">
        <v>115</v>
      </c>
      <c r="B53" s="73">
        <v>20</v>
      </c>
      <c r="C53" s="73">
        <v>19.440000000000001</v>
      </c>
      <c r="D53" s="73">
        <v>18</v>
      </c>
      <c r="E53" s="74" t="s">
        <v>116</v>
      </c>
    </row>
    <row r="54" spans="1:5" ht="14.25" customHeight="1" x14ac:dyDescent="0.3">
      <c r="A54" s="58" t="s">
        <v>117</v>
      </c>
      <c r="B54" s="849">
        <v>3.78E-2</v>
      </c>
      <c r="C54" s="849">
        <v>3.78E-2</v>
      </c>
      <c r="D54" s="849">
        <v>3.5000000000000003E-2</v>
      </c>
      <c r="E54" s="74" t="s">
        <v>118</v>
      </c>
    </row>
    <row r="55" spans="1:5" ht="14.25" customHeight="1" x14ac:dyDescent="0.3">
      <c r="A55" s="843" t="s">
        <v>119</v>
      </c>
      <c r="B55" s="843">
        <v>40000</v>
      </c>
      <c r="C55" s="843">
        <v>37000</v>
      </c>
      <c r="D55" s="843">
        <v>33000</v>
      </c>
      <c r="E55" s="845"/>
    </row>
    <row r="56" spans="1:5" ht="14.25" customHeight="1" x14ac:dyDescent="0.3">
      <c r="A56" s="58" t="s">
        <v>120</v>
      </c>
      <c r="B56" s="73">
        <v>50</v>
      </c>
      <c r="C56" s="73">
        <v>45.6</v>
      </c>
      <c r="D56" s="73">
        <v>35</v>
      </c>
      <c r="E56" s="74" t="s">
        <v>121</v>
      </c>
    </row>
    <row r="57" spans="1:5" ht="14.25" customHeight="1" x14ac:dyDescent="0.3">
      <c r="A57" s="58" t="s">
        <v>122</v>
      </c>
      <c r="B57" s="73">
        <v>100</v>
      </c>
      <c r="C57" s="73">
        <v>147</v>
      </c>
      <c r="D57" s="73">
        <v>200</v>
      </c>
      <c r="E57" s="74" t="s">
        <v>123</v>
      </c>
    </row>
    <row r="58" spans="1:5" ht="14.25" customHeight="1" x14ac:dyDescent="0.3">
      <c r="A58" s="58" t="s">
        <v>124</v>
      </c>
      <c r="B58" s="73">
        <v>0.15</v>
      </c>
      <c r="C58" s="73">
        <v>0.15</v>
      </c>
      <c r="D58" s="73">
        <v>0.15</v>
      </c>
      <c r="E58" s="74" t="s">
        <v>125</v>
      </c>
    </row>
    <row r="59" spans="1:5" ht="14.25" customHeight="1" x14ac:dyDescent="0.3">
      <c r="A59" s="58" t="s">
        <v>1230</v>
      </c>
      <c r="B59" s="852">
        <v>179.95</v>
      </c>
      <c r="C59" s="853">
        <v>179.95</v>
      </c>
      <c r="D59" s="854">
        <v>0</v>
      </c>
      <c r="E59" s="74" t="s">
        <v>1231</v>
      </c>
    </row>
    <row r="60" spans="1:5" ht="14.25" customHeight="1" x14ac:dyDescent="0.3">
      <c r="A60" s="843" t="s">
        <v>126</v>
      </c>
      <c r="B60" s="843">
        <v>0.1</v>
      </c>
      <c r="C60" s="843">
        <v>0.1</v>
      </c>
      <c r="D60" s="843">
        <v>0.1</v>
      </c>
      <c r="E60" s="74" t="s">
        <v>127</v>
      </c>
    </row>
    <row r="61" spans="1:5" ht="14.25" customHeight="1" x14ac:dyDescent="0.3">
      <c r="A61" s="58" t="s">
        <v>128</v>
      </c>
      <c r="B61" s="849">
        <v>0.17471999999999999</v>
      </c>
      <c r="C61" s="849">
        <v>0.17471999999999999</v>
      </c>
      <c r="D61" s="849">
        <v>0.17471999999999999</v>
      </c>
      <c r="E61" s="74" t="s">
        <v>129</v>
      </c>
    </row>
    <row r="62" spans="1:5" ht="14.25" customHeight="1" x14ac:dyDescent="0.3">
      <c r="A62" s="58" t="s">
        <v>130</v>
      </c>
      <c r="B62" s="73">
        <v>0</v>
      </c>
      <c r="C62" s="73">
        <v>36.26</v>
      </c>
      <c r="D62" s="73">
        <v>0</v>
      </c>
      <c r="E62" s="74" t="s">
        <v>131</v>
      </c>
    </row>
    <row r="63" spans="1:5" ht="14.25" customHeight="1" x14ac:dyDescent="0.3">
      <c r="A63" s="36"/>
      <c r="B63" s="36"/>
      <c r="C63" s="36"/>
      <c r="D63" s="36"/>
      <c r="E63" s="36"/>
    </row>
    <row r="64" spans="1:5" ht="14.25" customHeight="1" x14ac:dyDescent="0.3">
      <c r="A64" s="189" t="s">
        <v>132</v>
      </c>
      <c r="B64" s="36"/>
      <c r="C64" s="36"/>
      <c r="D64" s="36"/>
      <c r="E64" s="36"/>
    </row>
    <row r="65" spans="1:5" ht="14.25" customHeight="1" x14ac:dyDescent="0.3">
      <c r="A65" s="66" t="s">
        <v>56</v>
      </c>
      <c r="B65" s="34" t="s">
        <v>57</v>
      </c>
      <c r="C65" s="34" t="s">
        <v>53</v>
      </c>
      <c r="D65" s="34" t="s">
        <v>58</v>
      </c>
      <c r="E65" s="205" t="s">
        <v>59</v>
      </c>
    </row>
    <row r="66" spans="1:5" ht="14.25" customHeight="1" x14ac:dyDescent="0.3">
      <c r="A66" s="36" t="s">
        <v>1234</v>
      </c>
      <c r="B66" s="191">
        <v>-0.03</v>
      </c>
      <c r="C66" s="192">
        <v>-0.03</v>
      </c>
      <c r="D66" s="193">
        <v>-0.01</v>
      </c>
      <c r="E66" s="74" t="s">
        <v>1232</v>
      </c>
    </row>
    <row r="67" spans="1:5" ht="14.25" customHeight="1" x14ac:dyDescent="0.3">
      <c r="A67" s="36" t="s">
        <v>1235</v>
      </c>
      <c r="B67" s="194">
        <v>1.4999999999999999E-2</v>
      </c>
      <c r="C67" s="195">
        <v>0.02</v>
      </c>
      <c r="D67" s="196">
        <v>3.5000000000000003E-2</v>
      </c>
      <c r="E67" s="74" t="s">
        <v>1233</v>
      </c>
    </row>
    <row r="68" spans="1:5" ht="14.25" customHeight="1" x14ac:dyDescent="0.3">
      <c r="A68" s="36" t="s">
        <v>1236</v>
      </c>
      <c r="B68" s="191">
        <v>-4.0000000000000001E-3</v>
      </c>
      <c r="C68" s="192">
        <v>-2E-3</v>
      </c>
      <c r="D68" s="193">
        <v>-1E-3</v>
      </c>
      <c r="E68" s="74" t="s">
        <v>1237</v>
      </c>
    </row>
    <row r="69" spans="1:5" ht="14.25" customHeight="1" x14ac:dyDescent="0.3">
      <c r="A69" s="36" t="s">
        <v>133</v>
      </c>
      <c r="B69" s="197">
        <v>-2</v>
      </c>
      <c r="C69" s="198">
        <v>-1</v>
      </c>
      <c r="D69" s="199">
        <v>1</v>
      </c>
      <c r="E69" s="74" t="s">
        <v>134</v>
      </c>
    </row>
    <row r="70" spans="1:5" ht="14.25" customHeight="1" x14ac:dyDescent="0.3">
      <c r="A70" s="36" t="s">
        <v>135</v>
      </c>
      <c r="B70" s="197">
        <v>-3</v>
      </c>
      <c r="C70" s="198">
        <v>-2</v>
      </c>
      <c r="D70" s="199">
        <v>1</v>
      </c>
      <c r="E70" s="74" t="s">
        <v>136</v>
      </c>
    </row>
    <row r="71" spans="1:5" ht="14.25" customHeight="1" x14ac:dyDescent="0.3">
      <c r="A71" s="36" t="s">
        <v>137</v>
      </c>
      <c r="B71" s="200">
        <v>25</v>
      </c>
      <c r="C71" s="201">
        <v>30</v>
      </c>
      <c r="D71" s="202">
        <v>35</v>
      </c>
      <c r="E71" s="74" t="s">
        <v>138</v>
      </c>
    </row>
    <row r="72" spans="1:5" ht="14.25" customHeight="1" x14ac:dyDescent="0.3">
      <c r="A72" s="36" t="s">
        <v>139</v>
      </c>
      <c r="B72" s="200">
        <v>35</v>
      </c>
      <c r="C72" s="201">
        <v>40</v>
      </c>
      <c r="D72" s="202">
        <v>45</v>
      </c>
      <c r="E72" s="74" t="s">
        <v>140</v>
      </c>
    </row>
    <row r="73" spans="1:5" x14ac:dyDescent="0.3">
      <c r="A73" s="206"/>
      <c r="B73" s="206"/>
      <c r="C73" s="206"/>
      <c r="D73" s="206"/>
      <c r="E73" s="206"/>
    </row>
    <row r="74" spans="1:5" x14ac:dyDescent="0.3">
      <c r="A74" s="66" t="s">
        <v>1349</v>
      </c>
      <c r="B74" s="835"/>
      <c r="C74" s="835"/>
      <c r="D74" s="835"/>
      <c r="E74" s="835"/>
    </row>
    <row r="75" spans="1:5" x14ac:dyDescent="0.3">
      <c r="A75" s="684" t="s">
        <v>1350</v>
      </c>
      <c r="B75" s="838" t="s">
        <v>4</v>
      </c>
      <c r="C75" s="839"/>
      <c r="D75" s="839"/>
      <c r="E75" s="839"/>
    </row>
    <row r="76" spans="1:5" x14ac:dyDescent="0.3">
      <c r="A76" t="s">
        <v>1351</v>
      </c>
      <c r="B76" s="840" t="str">
        <f>IF(OR(B3="Bull",B3="Base",B3="Bear"),"✓ Valid","✗ Invalid")</f>
        <v>✓ Valid</v>
      </c>
    </row>
    <row r="77" spans="1:5" x14ac:dyDescent="0.3">
      <c r="A77" t="s">
        <v>1352</v>
      </c>
      <c r="B77" s="840" t="str">
        <f>IF(AND(B7&lt;C7,C7&lt;D7),"✓ Correct ordering","✗ Check values")</f>
        <v>✓ Correct ordering</v>
      </c>
    </row>
    <row r="78" spans="1:5" x14ac:dyDescent="0.3">
      <c r="A78" t="s">
        <v>1353</v>
      </c>
      <c r="B78" s="840" t="str">
        <f>IF(AND(B27&lt;=C27,C27&lt;=D27),"✓ Correct ordering","✗ Check values")</f>
        <v>✓ Correct ordering</v>
      </c>
    </row>
    <row r="79" spans="1:5" x14ac:dyDescent="0.3">
      <c r="A79" t="s">
        <v>1354</v>
      </c>
      <c r="B79" s="840" t="str">
        <f>IF(AND(B31&gt;=C31,C31&gt;=D31),"✓ Correct ordering","✗ Check values")</f>
        <v>✓ Correct ordering</v>
      </c>
    </row>
    <row r="81" spans="1:5" x14ac:dyDescent="0.3">
      <c r="A81" s="871" t="s">
        <v>1373</v>
      </c>
    </row>
    <row r="82" spans="1:5" x14ac:dyDescent="0.3">
      <c r="A82" s="872" t="s">
        <v>56</v>
      </c>
      <c r="B82" s="873" t="s">
        <v>57</v>
      </c>
      <c r="C82" s="873" t="s">
        <v>53</v>
      </c>
      <c r="D82" s="873" t="s">
        <v>58</v>
      </c>
      <c r="E82" s="873" t="s">
        <v>1374</v>
      </c>
    </row>
    <row r="83" spans="1:5" x14ac:dyDescent="0.3">
      <c r="A83" t="s">
        <v>1375</v>
      </c>
      <c r="B83" s="874">
        <v>6.5000000000000002E-2</v>
      </c>
      <c r="C83" s="874">
        <v>7.0000000000000007E-2</v>
      </c>
      <c r="D83" s="874">
        <v>7.4999999999999997E-2</v>
      </c>
      <c r="E83" t="s">
        <v>1376</v>
      </c>
    </row>
    <row r="84" spans="1:5" x14ac:dyDescent="0.3">
      <c r="A84" t="s">
        <v>637</v>
      </c>
      <c r="B84" s="874">
        <v>7.0000000000000007E-2</v>
      </c>
      <c r="C84" s="874">
        <v>7.2499999999999995E-2</v>
      </c>
      <c r="D84" s="874">
        <v>7.4999999999999997E-2</v>
      </c>
      <c r="E84" t="s">
        <v>1377</v>
      </c>
    </row>
    <row r="85" spans="1:5" x14ac:dyDescent="0.3">
      <c r="A85" t="s">
        <v>1378</v>
      </c>
      <c r="B85" s="875">
        <v>109.26</v>
      </c>
      <c r="C85" s="875">
        <v>109.26</v>
      </c>
      <c r="D85" s="875">
        <v>109.26</v>
      </c>
      <c r="E85" t="s">
        <v>1379</v>
      </c>
    </row>
    <row r="86" spans="1:5" x14ac:dyDescent="0.3">
      <c r="A86" t="s">
        <v>650</v>
      </c>
      <c r="B86" s="874">
        <v>8.5000000000000006E-2</v>
      </c>
      <c r="C86" s="874">
        <v>0.09</v>
      </c>
      <c r="D86" s="874">
        <v>9.5000000000000001E-2</v>
      </c>
      <c r="E86" t="s">
        <v>1380</v>
      </c>
    </row>
    <row r="87" spans="1:5" x14ac:dyDescent="0.3">
      <c r="A87" t="s">
        <v>1381</v>
      </c>
      <c r="B87" s="876">
        <v>0.6</v>
      </c>
      <c r="C87" s="876">
        <v>0.82</v>
      </c>
      <c r="D87" s="876">
        <v>1</v>
      </c>
      <c r="E87" t="s">
        <v>1382</v>
      </c>
    </row>
    <row r="88" spans="1:5" x14ac:dyDescent="0.3">
      <c r="A88" t="s">
        <v>1383</v>
      </c>
      <c r="B88" s="877">
        <v>3.2429999999999999</v>
      </c>
      <c r="C88" s="877">
        <v>3.2429999999999999</v>
      </c>
      <c r="D88" s="877">
        <v>3.2429999999999999</v>
      </c>
      <c r="E88" t="s">
        <v>1384</v>
      </c>
    </row>
    <row r="89" spans="1:5" x14ac:dyDescent="0.3">
      <c r="A89" t="s">
        <v>1385</v>
      </c>
      <c r="B89" s="874">
        <v>0.13</v>
      </c>
      <c r="C89" s="874">
        <v>0.14099999999999999</v>
      </c>
      <c r="D89" s="874">
        <v>0.15</v>
      </c>
      <c r="E89" t="s">
        <v>1386</v>
      </c>
    </row>
  </sheetData>
  <dataValidations disablePrompts="1" count="1">
    <dataValidation type="list" allowBlank="1" showInputMessage="1" showErrorMessage="1" errorTitle="Invalid Scenario" error="Please select Bull, Base, or Bear." sqref="B3" xr:uid="{00000000-0002-0000-0100-000000000000}">
      <formula1>"Bull,Base,Bear"</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700"/>
  </sheetPr>
  <dimension ref="A1:L143"/>
  <sheetViews>
    <sheetView showGridLines="0" zoomScale="88" zoomScaleNormal="97" workbookViewId="0">
      <pane ySplit="2" topLeftCell="A3" activePane="bottomLeft" state="frozen"/>
      <selection pane="bottomLeft" activeCell="B103" sqref="B103"/>
    </sheetView>
  </sheetViews>
  <sheetFormatPr defaultColWidth="8.6640625" defaultRowHeight="14.4" outlineLevelRow="1" x14ac:dyDescent="0.3"/>
  <cols>
    <col min="1" max="1" width="3.6640625" customWidth="1"/>
    <col min="2" max="2" width="189.6640625" customWidth="1"/>
    <col min="3" max="9" width="19.44140625" customWidth="1"/>
    <col min="10" max="12" width="15.77734375" customWidth="1"/>
  </cols>
  <sheetData>
    <row r="1" spans="1:12" ht="28.05" customHeight="1" x14ac:dyDescent="0.3">
      <c r="A1" s="110"/>
      <c r="B1" s="79" t="str">
        <f ca="1">"Jindal Coke Ltd. — Executive Dashboard  |  Model v2.0  |  Scenario: "&amp;'Scenario Engine'!B3&amp;"  |  "&amp;TEXT(TODAY(),"dd-mmm-yyyy")</f>
        <v>Jindal Coke Ltd. — Executive Dashboard  |  Model v2.0  |  Scenario: Base  |  29-May-2026</v>
      </c>
      <c r="C1" s="110"/>
      <c r="D1" s="110"/>
      <c r="E1" s="110"/>
      <c r="F1" s="110"/>
      <c r="G1" s="110"/>
      <c r="H1" s="110"/>
      <c r="I1" s="48"/>
      <c r="J1" s="48"/>
      <c r="K1" s="48"/>
      <c r="L1" s="48"/>
    </row>
    <row r="2" spans="1:12" ht="18" customHeight="1" x14ac:dyDescent="0.3">
      <c r="A2" s="36"/>
      <c r="B2" s="60" t="s">
        <v>141</v>
      </c>
      <c r="C2" s="48"/>
      <c r="D2" s="48"/>
      <c r="E2" s="48"/>
      <c r="F2" s="48"/>
      <c r="G2" s="48"/>
      <c r="H2" s="48"/>
      <c r="I2" s="48"/>
      <c r="J2" s="48"/>
      <c r="K2" s="48"/>
      <c r="L2" s="48"/>
    </row>
    <row r="3" spans="1:12" ht="14.25" customHeight="1" x14ac:dyDescent="0.3">
      <c r="A3" s="36"/>
      <c r="B3" s="48"/>
      <c r="C3" s="48"/>
      <c r="D3" s="48"/>
      <c r="E3" s="48"/>
      <c r="F3" s="48"/>
      <c r="G3" s="48"/>
      <c r="H3" s="48"/>
      <c r="I3" s="48"/>
      <c r="J3" s="48"/>
      <c r="K3" s="48"/>
      <c r="L3" s="48"/>
    </row>
    <row r="4" spans="1:12" ht="14.25" customHeight="1" x14ac:dyDescent="0.3">
      <c r="A4" s="36"/>
      <c r="B4" s="207" t="s">
        <v>142</v>
      </c>
      <c r="C4" s="207"/>
      <c r="D4" s="207"/>
      <c r="E4" s="207"/>
      <c r="F4" s="207"/>
      <c r="G4" s="207"/>
      <c r="H4" s="207"/>
      <c r="I4" s="48"/>
      <c r="J4" s="48"/>
      <c r="K4" s="48"/>
      <c r="L4" s="48"/>
    </row>
    <row r="5" spans="1:12" ht="14.25" customHeight="1" x14ac:dyDescent="0.3">
      <c r="A5" s="36"/>
      <c r="B5" s="114" t="s">
        <v>143</v>
      </c>
      <c r="C5" s="33" t="s">
        <v>144</v>
      </c>
      <c r="D5" s="33" t="s">
        <v>145</v>
      </c>
      <c r="E5" s="33" t="s">
        <v>146</v>
      </c>
      <c r="F5" s="33" t="s">
        <v>147</v>
      </c>
      <c r="G5" s="33" t="s">
        <v>148</v>
      </c>
      <c r="H5" s="33" t="s">
        <v>149</v>
      </c>
      <c r="I5" s="34" t="s">
        <v>1143</v>
      </c>
      <c r="J5" s="34" t="s">
        <v>1144</v>
      </c>
      <c r="K5" s="34" t="s">
        <v>1145</v>
      </c>
      <c r="L5" s="34" t="s">
        <v>1146</v>
      </c>
    </row>
    <row r="6" spans="1:12" ht="14.25" customHeight="1" x14ac:dyDescent="0.3">
      <c r="A6" s="36"/>
      <c r="B6" s="208" t="s">
        <v>150</v>
      </c>
      <c r="C6" s="209">
        <f>'The 3-Statement Projection'!B6</f>
        <v>1572.8000000000002</v>
      </c>
      <c r="D6" s="209">
        <f>'The 3-Statement Projection'!C6</f>
        <v>1871.3300000000002</v>
      </c>
      <c r="E6" s="209">
        <f>'The 3-Statement Projection'!D6</f>
        <v>2081.1111165727916</v>
      </c>
      <c r="F6" s="209">
        <f>'The 3-Statement Projection'!E6</f>
        <v>2195.6110965727921</v>
      </c>
      <c r="G6" s="209">
        <f>'The 3-Statement Projection'!F6</f>
        <v>2195.6110965727921</v>
      </c>
      <c r="H6" s="209">
        <f>'The 3-Statement Projection'!G6</f>
        <v>2195.6110965727921</v>
      </c>
      <c r="I6" s="38">
        <f>'The 3-Statement Projection'!H6</f>
        <v>2195.6110965727921</v>
      </c>
      <c r="J6" s="38">
        <f>'The 3-Statement Projection'!I6</f>
        <v>2195.6110965727921</v>
      </c>
      <c r="K6" s="38">
        <f>'The 3-Statement Projection'!J6</f>
        <v>2195.6110965727921</v>
      </c>
      <c r="L6" s="38">
        <f>'The 3-Statement Projection'!K6</f>
        <v>2195.6110965727921</v>
      </c>
    </row>
    <row r="7" spans="1:12" ht="14.25" customHeight="1" x14ac:dyDescent="0.3">
      <c r="A7" s="36"/>
      <c r="B7" s="210" t="s">
        <v>151</v>
      </c>
      <c r="C7" s="211">
        <f>'The 3-Statement Projection'!B16</f>
        <v>0.10350966429298049</v>
      </c>
      <c r="D7" s="211">
        <f>'The 3-Statement Projection'!C16</f>
        <v>0.10711098523510022</v>
      </c>
      <c r="E7" s="211">
        <f>'The 3-Statement Projection'!D16</f>
        <v>0.18247245056367206</v>
      </c>
      <c r="F7" s="211">
        <f>'The 3-Statement Projection'!E16</f>
        <v>0.16406870538283339</v>
      </c>
      <c r="G7" s="211">
        <f>'The 3-Statement Projection'!F16</f>
        <v>0.16606870538283336</v>
      </c>
      <c r="H7" s="211">
        <f>'The 3-Statement Projection'!G16</f>
        <v>0.16806870538283342</v>
      </c>
      <c r="I7" s="40">
        <f>'The 3-Statement Projection'!H16</f>
        <v>0.16806870538283342</v>
      </c>
      <c r="J7" s="40">
        <f>'The 3-Statement Projection'!I16</f>
        <v>0.16806870538283342</v>
      </c>
      <c r="K7" s="40">
        <f>'The 3-Statement Projection'!J16</f>
        <v>0.16806870538283342</v>
      </c>
      <c r="L7" s="40">
        <f>'The 3-Statement Projection'!K16</f>
        <v>0.16806870538283342</v>
      </c>
    </row>
    <row r="8" spans="1:12" ht="14.25" customHeight="1" x14ac:dyDescent="0.3">
      <c r="A8" s="36"/>
      <c r="B8" s="210" t="s">
        <v>152</v>
      </c>
      <c r="C8" s="212">
        <f>'The 3-Statement Projection'!B27</f>
        <v>95.889999999999731</v>
      </c>
      <c r="D8" s="212">
        <f>'The 3-Statement Projection'!C27</f>
        <v>114.60000000000012</v>
      </c>
      <c r="E8" s="212">
        <f ca="1">'The 3-Statement Projection'!D27</f>
        <v>225.81067664648373</v>
      </c>
      <c r="F8" s="212">
        <f ca="1">'The 3-Statement Projection'!E27</f>
        <v>199.77611552532966</v>
      </c>
      <c r="G8" s="212">
        <f ca="1">'The 3-Statement Projection'!F27</f>
        <v>210.34614785824715</v>
      </c>
      <c r="H8" s="212">
        <f ca="1">'The 3-Statement Projection'!G27</f>
        <v>215.82119217140661</v>
      </c>
      <c r="I8" s="41">
        <f ca="1">'The 3-Statement Projection'!H27</f>
        <v>217.87499860003078</v>
      </c>
      <c r="J8" s="41">
        <f ca="1">'The 3-Statement Projection'!I27</f>
        <v>219.8940279113707</v>
      </c>
      <c r="K8" s="41">
        <f ca="1">'The 3-Statement Projection'!J27</f>
        <v>221.88776555549401</v>
      </c>
      <c r="L8" s="41">
        <f ca="1">'The 3-Statement Projection'!K27</f>
        <v>223.85557924072043</v>
      </c>
    </row>
    <row r="9" spans="1:12" ht="14.25" customHeight="1" x14ac:dyDescent="0.3">
      <c r="A9" s="36"/>
      <c r="B9" s="213" t="s">
        <v>153</v>
      </c>
      <c r="C9" s="214">
        <f>'The 3-Statement Projection'!B39+'The 3-Statement Projection'!B45+'The 3-Statement Projection'!B46</f>
        <v>324.82</v>
      </c>
      <c r="D9" s="214">
        <f>'The 3-Statement Projection'!C39+'The 3-Statement Projection'!C45+'The 3-Statement Projection'!C46</f>
        <v>545.81999999999994</v>
      </c>
      <c r="E9" s="214">
        <f ca="1">'The 3-Statement Projection'!D39+'The 3-Statement Projection'!D45+'The 3-Statement Projection'!D46</f>
        <v>613.09999999999991</v>
      </c>
      <c r="F9" s="214">
        <f ca="1">'The 3-Statement Projection'!E39+'The 3-Statement Projection'!E45+'The 3-Statement Projection'!E46</f>
        <v>419.118709056135</v>
      </c>
      <c r="G9" s="214">
        <f ca="1">'The 3-Statement Projection'!F39+'The 3-Statement Projection'!F45+'The 3-Statement Projection'!F46</f>
        <v>351.79999999999995</v>
      </c>
      <c r="H9" s="214">
        <f ca="1">'The 3-Statement Projection'!G39+'The 3-Statement Projection'!G45+'The 3-Statement Projection'!G46</f>
        <v>306.49999999999994</v>
      </c>
      <c r="I9" s="44">
        <f ca="1">'The 3-Statement Projection'!H39+'The 3-Statement Projection'!H45+'The 3-Statement Projection'!H46</f>
        <v>261.49999999999994</v>
      </c>
      <c r="J9" s="44">
        <f ca="1">'The 3-Statement Projection'!I39+'The 3-Statement Projection'!I45+'The 3-Statement Projection'!I46</f>
        <v>216.49999999999994</v>
      </c>
      <c r="K9" s="44">
        <f ca="1">'The 3-Statement Projection'!J39+'The 3-Statement Projection'!J45+'The 3-Statement Projection'!J46</f>
        <v>171.49999999999994</v>
      </c>
      <c r="L9" s="44">
        <f ca="1">'The 3-Statement Projection'!K39+'The 3-Statement Projection'!K45+'The 3-Statement Projection'!K46</f>
        <v>126.49999999999996</v>
      </c>
    </row>
    <row r="10" spans="1:12" ht="15" customHeight="1" x14ac:dyDescent="0.3">
      <c r="A10" s="36"/>
      <c r="B10" s="215" t="s">
        <v>154</v>
      </c>
      <c r="C10" s="216">
        <f>'The 3-Statement Projection'!B19/('The 3-Statement Projection'!B36+'The 3-Statement Projection'!B42)</f>
        <v>0.11487105482905927</v>
      </c>
      <c r="D10" s="216">
        <f>'The 3-Statement Projection'!C19/('The 3-Statement Projection'!C36+'The 3-Statement Projection'!C42)</f>
        <v>0.1293716170306978</v>
      </c>
      <c r="E10" s="216">
        <f ca="1">'The 3-Statement Projection'!D19/('The 3-Statement Projection'!D36+'The 3-Statement Projection'!D42)</f>
        <v>0.26225183218713838</v>
      </c>
      <c r="F10" s="216">
        <f ca="1">'The 3-Statement Projection'!E19/('The 3-Statement Projection'!E36+'The 3-Statement Projection'!E42)</f>
        <v>0.2288609914062614</v>
      </c>
      <c r="G10" s="216">
        <f ca="1">'The 3-Statement Projection'!F19/('The 3-Statement Projection'!F36+'The 3-Statement Projection'!F42)</f>
        <v>0.21680430538062834</v>
      </c>
      <c r="H10" s="216">
        <f ca="1">'The 3-Statement Projection'!G19/('The 3-Statement Projection'!G36+'The 3-Statement Projection'!G42)</f>
        <v>0.2057906420966599</v>
      </c>
      <c r="I10" s="45">
        <f ca="1">'The 3-Statement Projection'!H19/('The 3-Statement Projection'!H36+'The 3-Statement Projection'!H42)</f>
        <v>0.19323932034190761</v>
      </c>
      <c r="J10" s="45">
        <f ca="1">'The 3-Statement Projection'!I19/('The 3-Statement Projection'!I36+'The 3-Statement Projection'!I42)</f>
        <v>0.18196167267941968</v>
      </c>
      <c r="K10" s="45">
        <f ca="1">'The 3-Statement Projection'!J19/('The 3-Statement Projection'!J36+'The 3-Statement Projection'!J42)</f>
        <v>0.17176525532516645</v>
      </c>
      <c r="L10" s="45">
        <f ca="1">'The 3-Statement Projection'!K19/('The 3-Statement Projection'!K36+'The 3-Statement Projection'!K42)</f>
        <v>0.16249583634207201</v>
      </c>
    </row>
    <row r="11" spans="1:12" ht="14.25" customHeight="1" x14ac:dyDescent="0.3">
      <c r="A11" s="36"/>
      <c r="B11" s="36"/>
      <c r="C11" s="217"/>
      <c r="D11" s="217"/>
      <c r="E11" s="217"/>
      <c r="F11" s="217"/>
      <c r="G11" s="217"/>
      <c r="H11" s="217"/>
      <c r="I11" s="48"/>
      <c r="J11" s="48"/>
      <c r="K11" s="48"/>
      <c r="L11" s="48"/>
    </row>
    <row r="12" spans="1:12" ht="14.25" customHeight="1" x14ac:dyDescent="0.3">
      <c r="A12" s="36"/>
      <c r="B12" s="114" t="s">
        <v>155</v>
      </c>
      <c r="C12" s="218"/>
      <c r="D12" s="218"/>
      <c r="E12" s="218"/>
      <c r="F12" s="218"/>
      <c r="G12" s="218"/>
      <c r="H12" s="218"/>
      <c r="I12" s="48"/>
      <c r="J12" s="48"/>
      <c r="K12" s="48"/>
      <c r="L12" s="48"/>
    </row>
    <row r="13" spans="1:12" ht="14.25" customHeight="1" x14ac:dyDescent="0.3">
      <c r="A13" s="36"/>
      <c r="B13" s="210" t="s">
        <v>66</v>
      </c>
      <c r="C13" s="219" t="s">
        <v>156</v>
      </c>
      <c r="D13" s="220">
        <f>'Assumptions &amp; Drivers'!D15</f>
        <v>85</v>
      </c>
      <c r="E13" s="220">
        <f>'Assumptions &amp; Drivers'!E15</f>
        <v>85</v>
      </c>
      <c r="F13" s="220">
        <f>'Assumptions &amp; Drivers'!F15</f>
        <v>85</v>
      </c>
      <c r="G13" s="220">
        <f>'Assumptions &amp; Drivers'!G15</f>
        <v>85</v>
      </c>
      <c r="H13" s="220">
        <f>'Assumptions &amp; Drivers'!H15</f>
        <v>85</v>
      </c>
      <c r="I13" s="46">
        <f>'Assumptions &amp; Drivers'!I15</f>
        <v>85</v>
      </c>
      <c r="J13" s="46">
        <f>'Assumptions &amp; Drivers'!J15</f>
        <v>85</v>
      </c>
      <c r="K13" s="46">
        <f>'Assumptions &amp; Drivers'!K15</f>
        <v>85</v>
      </c>
      <c r="L13" s="46">
        <f>'Assumptions &amp; Drivers'!L15</f>
        <v>85</v>
      </c>
    </row>
    <row r="14" spans="1:12" ht="14.25" customHeight="1" x14ac:dyDescent="0.3">
      <c r="A14" s="36"/>
      <c r="B14" s="210" t="s">
        <v>68</v>
      </c>
      <c r="C14" s="221" t="s">
        <v>156</v>
      </c>
      <c r="D14" s="222">
        <f>'Assumptions &amp; Drivers'!D16</f>
        <v>170</v>
      </c>
      <c r="E14" s="222">
        <f>'Assumptions &amp; Drivers'!E16</f>
        <v>170</v>
      </c>
      <c r="F14" s="222">
        <f>'Assumptions &amp; Drivers'!F16</f>
        <v>170</v>
      </c>
      <c r="G14" s="222">
        <f>'Assumptions &amp; Drivers'!G16</f>
        <v>170</v>
      </c>
      <c r="H14" s="222">
        <f>'Assumptions &amp; Drivers'!H16</f>
        <v>170</v>
      </c>
      <c r="I14" s="47">
        <f>'Assumptions &amp; Drivers'!I16</f>
        <v>170</v>
      </c>
      <c r="J14" s="47">
        <f>'Assumptions &amp; Drivers'!J16</f>
        <v>170</v>
      </c>
      <c r="K14" s="47">
        <f>'Assumptions &amp; Drivers'!K16</f>
        <v>170</v>
      </c>
      <c r="L14" s="47">
        <f>'Assumptions &amp; Drivers'!L16</f>
        <v>170</v>
      </c>
    </row>
    <row r="15" spans="1:12" ht="14.25" customHeight="1" x14ac:dyDescent="0.3">
      <c r="A15" s="36"/>
      <c r="B15" s="207"/>
      <c r="C15" s="207"/>
      <c r="D15" s="207"/>
      <c r="E15" s="207"/>
      <c r="F15" s="207"/>
      <c r="G15" s="207"/>
      <c r="H15" s="207"/>
      <c r="I15" s="48"/>
      <c r="J15" s="48"/>
      <c r="K15" s="48"/>
      <c r="L15" s="48"/>
    </row>
    <row r="16" spans="1:12" ht="14.25" customHeight="1" x14ac:dyDescent="0.3">
      <c r="A16" s="36"/>
      <c r="B16" s="223" t="s">
        <v>157</v>
      </c>
      <c r="C16" s="224"/>
      <c r="D16" s="224"/>
      <c r="E16" s="224"/>
      <c r="F16" s="224"/>
      <c r="G16" s="224"/>
      <c r="H16" s="224"/>
      <c r="I16" s="48"/>
      <c r="J16" s="48"/>
      <c r="K16" s="48"/>
      <c r="L16" s="48"/>
    </row>
    <row r="17" spans="1:12" ht="14.25" customHeight="1" x14ac:dyDescent="0.3">
      <c r="A17" s="36"/>
      <c r="B17" s="48"/>
      <c r="C17" s="48"/>
      <c r="D17" s="48"/>
      <c r="E17" s="48"/>
      <c r="F17" s="48"/>
      <c r="G17" s="48"/>
      <c r="H17" s="48"/>
      <c r="I17" s="48"/>
      <c r="J17" s="48"/>
      <c r="K17" s="48"/>
      <c r="L17" s="48"/>
    </row>
    <row r="18" spans="1:12" ht="14.25" customHeight="1" x14ac:dyDescent="0.3">
      <c r="A18" s="36"/>
      <c r="B18" s="48"/>
      <c r="C18" s="48"/>
      <c r="D18" s="48"/>
      <c r="E18" s="48"/>
      <c r="F18" s="48"/>
      <c r="G18" s="48"/>
      <c r="H18" s="48"/>
      <c r="I18" s="48"/>
      <c r="J18" s="48"/>
      <c r="K18" s="48"/>
      <c r="L18" s="48"/>
    </row>
    <row r="19" spans="1:12" ht="14.25" customHeight="1" x14ac:dyDescent="0.3">
      <c r="A19" s="36" t="s">
        <v>1293</v>
      </c>
      <c r="B19" s="48"/>
      <c r="C19" s="48"/>
      <c r="D19" s="48"/>
      <c r="E19" s="48"/>
      <c r="F19" s="48"/>
      <c r="G19" s="48"/>
      <c r="H19" s="48"/>
      <c r="I19" s="48"/>
      <c r="J19" s="48"/>
      <c r="K19" s="48"/>
      <c r="L19" s="48"/>
    </row>
    <row r="20" spans="1:12" ht="14.25" customHeight="1" x14ac:dyDescent="0.3">
      <c r="A20" s="36"/>
      <c r="B20" s="48"/>
      <c r="C20" s="48"/>
      <c r="D20" s="48"/>
      <c r="E20" s="48"/>
      <c r="F20" s="48"/>
      <c r="G20" s="48"/>
      <c r="H20" s="48"/>
      <c r="I20" s="48"/>
      <c r="J20" s="48"/>
      <c r="K20" s="48"/>
      <c r="L20" s="48"/>
    </row>
    <row r="21" spans="1:12" ht="14.25" customHeight="1" x14ac:dyDescent="0.3">
      <c r="A21" s="36"/>
      <c r="B21" s="48"/>
      <c r="C21" s="48"/>
      <c r="D21" s="48"/>
      <c r="E21" s="48"/>
      <c r="F21" s="48"/>
      <c r="G21" s="48"/>
      <c r="H21" s="48"/>
      <c r="I21" s="48"/>
      <c r="J21" s="48"/>
      <c r="K21" s="48"/>
      <c r="L21" s="48"/>
    </row>
    <row r="22" spans="1:12" ht="14.25" customHeight="1" x14ac:dyDescent="0.3">
      <c r="A22" s="36"/>
      <c r="B22" s="48"/>
      <c r="C22" s="48"/>
      <c r="D22" s="48"/>
      <c r="E22" s="48"/>
      <c r="F22" s="48"/>
      <c r="G22" s="48"/>
      <c r="H22" s="48"/>
      <c r="I22" s="48"/>
      <c r="J22" s="48"/>
      <c r="K22" s="48"/>
      <c r="L22" s="48"/>
    </row>
    <row r="23" spans="1:12" ht="14.25" customHeight="1" x14ac:dyDescent="0.3">
      <c r="A23" s="36"/>
      <c r="B23" s="48"/>
      <c r="C23" s="48"/>
      <c r="D23" s="48"/>
      <c r="E23" s="48"/>
      <c r="F23" s="48"/>
      <c r="G23" s="48"/>
      <c r="H23" s="48"/>
      <c r="I23" s="48"/>
      <c r="J23" s="48"/>
      <c r="K23" s="48"/>
      <c r="L23" s="48"/>
    </row>
    <row r="24" spans="1:12" ht="14.25" customHeight="1" x14ac:dyDescent="0.3">
      <c r="A24" s="36"/>
      <c r="B24" s="48"/>
      <c r="C24" s="48"/>
      <c r="D24" s="48"/>
      <c r="E24" s="48"/>
      <c r="F24" s="48"/>
      <c r="G24" s="48"/>
      <c r="H24" s="48"/>
      <c r="I24" s="48"/>
      <c r="J24" s="48"/>
      <c r="K24" s="48"/>
      <c r="L24" s="48"/>
    </row>
    <row r="25" spans="1:12" ht="14.25" customHeight="1" x14ac:dyDescent="0.3">
      <c r="A25" s="36"/>
      <c r="B25" s="48"/>
      <c r="C25" s="48"/>
      <c r="D25" s="48"/>
      <c r="E25" s="48"/>
      <c r="F25" s="48"/>
      <c r="G25" s="48"/>
      <c r="H25" s="48"/>
      <c r="I25" s="48"/>
      <c r="J25" s="48"/>
      <c r="K25" s="48"/>
      <c r="L25" s="48"/>
    </row>
    <row r="26" spans="1:12" ht="14.25" customHeight="1" x14ac:dyDescent="0.3">
      <c r="A26" s="36"/>
      <c r="B26" s="207"/>
      <c r="C26" s="207"/>
      <c r="D26" s="207"/>
      <c r="E26" s="207"/>
      <c r="F26" s="207"/>
      <c r="G26" s="207"/>
      <c r="H26" s="207"/>
      <c r="I26" s="48"/>
      <c r="J26" s="48"/>
      <c r="K26" s="48"/>
      <c r="L26" s="48"/>
    </row>
    <row r="27" spans="1:12" ht="14.25" customHeight="1" x14ac:dyDescent="0.3">
      <c r="A27" s="36"/>
      <c r="B27" s="48"/>
      <c r="C27" s="48"/>
      <c r="D27" s="48"/>
      <c r="E27" s="48"/>
      <c r="F27" s="48"/>
      <c r="G27" s="48"/>
      <c r="H27" s="48"/>
      <c r="I27" s="48"/>
      <c r="J27" s="48"/>
      <c r="K27" s="48"/>
      <c r="L27" s="48"/>
    </row>
    <row r="28" spans="1:12" ht="14.25" customHeight="1" x14ac:dyDescent="0.3">
      <c r="A28" s="36"/>
      <c r="B28" s="48"/>
      <c r="C28" s="48"/>
      <c r="D28" s="48"/>
      <c r="E28" s="48"/>
      <c r="F28" s="48"/>
      <c r="G28" s="48"/>
      <c r="H28" s="48"/>
      <c r="I28" s="48"/>
      <c r="J28" s="48"/>
      <c r="K28" s="48"/>
      <c r="L28" s="48"/>
    </row>
    <row r="29" spans="1:12" ht="14.25" customHeight="1" x14ac:dyDescent="0.3">
      <c r="A29" s="36"/>
      <c r="B29" s="48"/>
      <c r="C29" s="48"/>
      <c r="D29" s="48"/>
      <c r="E29" s="48"/>
      <c r="F29" s="48"/>
      <c r="G29" s="48"/>
      <c r="H29" s="48"/>
      <c r="I29" s="48"/>
      <c r="J29" s="48"/>
      <c r="K29" s="48"/>
      <c r="L29" s="48"/>
    </row>
    <row r="30" spans="1:12" ht="14.25" customHeight="1" x14ac:dyDescent="0.3">
      <c r="A30" s="36"/>
      <c r="B30" s="48"/>
      <c r="C30" s="48"/>
      <c r="D30" s="48"/>
      <c r="E30" s="48"/>
      <c r="F30" s="48"/>
      <c r="G30" s="48"/>
      <c r="H30" s="48"/>
      <c r="I30" s="48"/>
      <c r="J30" s="48"/>
      <c r="K30" s="48"/>
      <c r="L30" s="48"/>
    </row>
    <row r="31" spans="1:12" ht="14.25" customHeight="1" x14ac:dyDescent="0.3">
      <c r="A31" s="36"/>
      <c r="B31" s="48"/>
      <c r="C31" s="48"/>
      <c r="D31" s="48"/>
      <c r="E31" s="48"/>
      <c r="F31" s="48"/>
      <c r="G31" s="48"/>
      <c r="H31" s="48"/>
      <c r="I31" s="48"/>
      <c r="J31" s="48"/>
      <c r="K31" s="48"/>
      <c r="L31" s="48"/>
    </row>
    <row r="32" spans="1:12" ht="14.25" customHeight="1" x14ac:dyDescent="0.3">
      <c r="A32" s="36"/>
      <c r="B32" s="48"/>
      <c r="C32" s="48"/>
      <c r="D32" s="48"/>
      <c r="E32" s="48"/>
      <c r="F32" s="48"/>
      <c r="G32" s="48"/>
      <c r="H32" s="48"/>
      <c r="I32" s="48"/>
      <c r="J32" s="48"/>
      <c r="K32" s="48"/>
      <c r="L32" s="48"/>
    </row>
    <row r="33" spans="1:12" ht="14.25" customHeight="1" x14ac:dyDescent="0.3">
      <c r="A33" s="36"/>
      <c r="B33" s="48"/>
      <c r="C33" s="48"/>
      <c r="D33" s="48"/>
      <c r="E33" s="48"/>
      <c r="F33" s="48"/>
      <c r="G33" s="48"/>
      <c r="H33" s="48"/>
      <c r="I33" s="48"/>
      <c r="J33" s="48"/>
      <c r="K33" s="48"/>
      <c r="L33" s="48"/>
    </row>
    <row r="34" spans="1:12" ht="14.25" customHeight="1" x14ac:dyDescent="0.3">
      <c r="A34" s="36"/>
      <c r="B34" s="48"/>
      <c r="C34" s="48"/>
      <c r="D34" s="48"/>
      <c r="E34" s="48"/>
      <c r="F34" s="48"/>
      <c r="G34" s="48"/>
      <c r="H34" s="48"/>
      <c r="I34" s="48"/>
      <c r="J34" s="48"/>
      <c r="K34" s="48"/>
      <c r="L34" s="48"/>
    </row>
    <row r="35" spans="1:12" ht="14.25" customHeight="1" x14ac:dyDescent="0.3">
      <c r="A35" s="36"/>
      <c r="B35" s="207"/>
      <c r="C35" s="207"/>
      <c r="D35" s="207"/>
      <c r="E35" s="207"/>
      <c r="F35" s="207"/>
      <c r="G35" s="207"/>
      <c r="H35" s="207"/>
      <c r="I35" s="48"/>
      <c r="J35" s="48"/>
      <c r="K35" s="48"/>
      <c r="L35" s="48"/>
    </row>
    <row r="36" spans="1:12" ht="14.25" customHeight="1" x14ac:dyDescent="0.3">
      <c r="A36" s="36"/>
      <c r="B36" s="48"/>
      <c r="C36" s="48"/>
      <c r="D36" s="48"/>
      <c r="E36" s="48"/>
      <c r="F36" s="48"/>
      <c r="G36" s="48"/>
      <c r="H36" s="48"/>
      <c r="I36" s="48"/>
      <c r="J36" s="48"/>
      <c r="K36" s="48"/>
      <c r="L36" s="48"/>
    </row>
    <row r="37" spans="1:12" ht="14.25" customHeight="1" x14ac:dyDescent="0.3">
      <c r="A37" s="36"/>
      <c r="B37" s="48"/>
      <c r="C37" s="48"/>
      <c r="D37" s="48"/>
      <c r="E37" s="48"/>
      <c r="F37" s="48"/>
      <c r="G37" s="48"/>
      <c r="H37" s="48"/>
      <c r="I37" s="48"/>
      <c r="J37" s="48"/>
      <c r="K37" s="48"/>
      <c r="L37" s="48"/>
    </row>
    <row r="38" spans="1:12" ht="14.25" customHeight="1" x14ac:dyDescent="0.3">
      <c r="A38" s="36"/>
      <c r="B38" s="48"/>
      <c r="C38" s="48"/>
      <c r="D38" s="48"/>
      <c r="E38" s="48"/>
      <c r="F38" s="48"/>
      <c r="G38" s="48"/>
      <c r="H38" s="48"/>
      <c r="I38" s="48"/>
      <c r="J38" s="48"/>
      <c r="K38" s="48"/>
      <c r="L38" s="48"/>
    </row>
    <row r="39" spans="1:12" ht="14.25" customHeight="1" x14ac:dyDescent="0.3">
      <c r="A39" s="36"/>
      <c r="B39" s="48"/>
      <c r="C39" s="48"/>
      <c r="D39" s="48"/>
      <c r="E39" s="48"/>
      <c r="F39" s="48"/>
      <c r="G39" s="48"/>
      <c r="H39" s="48"/>
      <c r="I39" s="48"/>
      <c r="J39" s="48"/>
      <c r="K39" s="48"/>
      <c r="L39" s="48"/>
    </row>
    <row r="40" spans="1:12" ht="14.25" customHeight="1" x14ac:dyDescent="0.3">
      <c r="A40" s="36"/>
      <c r="B40" s="48"/>
      <c r="C40" s="48"/>
      <c r="D40" s="48"/>
      <c r="E40" s="48"/>
      <c r="F40" s="48"/>
      <c r="G40" s="48"/>
      <c r="H40" s="48"/>
      <c r="I40" s="48"/>
      <c r="J40" s="48"/>
      <c r="K40" s="48"/>
      <c r="L40" s="48"/>
    </row>
    <row r="41" spans="1:12" ht="14.25" customHeight="1" x14ac:dyDescent="0.3">
      <c r="A41" s="36"/>
      <c r="B41" s="48"/>
      <c r="C41" s="48"/>
      <c r="D41" s="48"/>
      <c r="E41" s="48"/>
      <c r="F41" s="48"/>
      <c r="G41" s="48"/>
      <c r="H41" s="48"/>
      <c r="I41" s="48"/>
      <c r="J41" s="48"/>
      <c r="K41" s="48"/>
      <c r="L41" s="48"/>
    </row>
    <row r="42" spans="1:12" ht="14.25" customHeight="1" x14ac:dyDescent="0.3">
      <c r="A42" s="36"/>
      <c r="B42" s="48"/>
      <c r="C42" s="48"/>
      <c r="D42" s="48"/>
      <c r="E42" s="48"/>
      <c r="F42" s="48"/>
      <c r="G42" s="48"/>
      <c r="H42" s="48"/>
      <c r="I42" s="48"/>
      <c r="J42" s="48"/>
      <c r="K42" s="48"/>
      <c r="L42" s="48"/>
    </row>
    <row r="43" spans="1:12" ht="14.25" customHeight="1" x14ac:dyDescent="0.3">
      <c r="A43" s="36"/>
      <c r="B43" s="48"/>
      <c r="C43" s="48"/>
      <c r="D43" s="48"/>
      <c r="E43" s="48"/>
      <c r="F43" s="48"/>
      <c r="G43" s="48"/>
      <c r="H43" s="48"/>
      <c r="I43" s="48"/>
      <c r="J43" s="48"/>
      <c r="K43" s="48"/>
      <c r="L43" s="48"/>
    </row>
    <row r="44" spans="1:12" ht="14.25" customHeight="1" x14ac:dyDescent="0.3">
      <c r="A44" s="36"/>
      <c r="B44" s="48"/>
      <c r="C44" s="48"/>
      <c r="D44" s="48"/>
      <c r="E44" s="48"/>
      <c r="F44" s="48"/>
      <c r="G44" s="48"/>
      <c r="H44" s="48"/>
      <c r="I44" s="48"/>
      <c r="J44" s="48"/>
      <c r="K44" s="48"/>
      <c r="L44" s="48"/>
    </row>
    <row r="45" spans="1:12" ht="14.25" customHeight="1" x14ac:dyDescent="0.3">
      <c r="A45" s="36"/>
      <c r="B45" s="48"/>
      <c r="C45" s="48"/>
      <c r="D45" s="48"/>
      <c r="E45" s="48"/>
      <c r="F45" s="48"/>
      <c r="G45" s="48"/>
      <c r="H45" s="48"/>
      <c r="I45" s="48"/>
      <c r="J45" s="48"/>
      <c r="K45" s="48"/>
      <c r="L45" s="48"/>
    </row>
    <row r="46" spans="1:12" ht="14.25" customHeight="1" x14ac:dyDescent="0.3">
      <c r="A46" s="36"/>
      <c r="B46" s="207"/>
      <c r="C46" s="207"/>
      <c r="D46" s="207"/>
      <c r="E46" s="207"/>
      <c r="F46" s="207"/>
      <c r="G46" s="207"/>
      <c r="H46" s="207"/>
      <c r="I46" s="48"/>
      <c r="J46" s="48"/>
      <c r="K46" s="48"/>
      <c r="L46" s="48"/>
    </row>
    <row r="47" spans="1:12" ht="14.25" customHeight="1" x14ac:dyDescent="0.3">
      <c r="A47" s="36"/>
      <c r="B47" s="48"/>
      <c r="C47" s="48"/>
      <c r="D47" s="48"/>
      <c r="E47" s="48"/>
      <c r="F47" s="48"/>
      <c r="G47" s="48"/>
      <c r="H47" s="48"/>
      <c r="I47" s="48"/>
      <c r="J47" s="48"/>
      <c r="K47" s="48"/>
      <c r="L47" s="48"/>
    </row>
    <row r="48" spans="1:12" ht="14.25" customHeight="1" x14ac:dyDescent="0.3">
      <c r="A48" s="36"/>
      <c r="B48" s="48"/>
      <c r="C48" s="48"/>
      <c r="D48" s="48"/>
      <c r="E48" s="48"/>
      <c r="F48" s="48"/>
      <c r="G48" s="48"/>
      <c r="H48" s="48"/>
      <c r="I48" s="48"/>
      <c r="J48" s="48"/>
      <c r="K48" s="48"/>
      <c r="L48" s="48"/>
    </row>
    <row r="49" spans="1:12" ht="14.25" customHeight="1" x14ac:dyDescent="0.3">
      <c r="A49" s="36"/>
      <c r="B49" s="48"/>
      <c r="C49" s="48"/>
      <c r="D49" s="48"/>
      <c r="E49" s="48"/>
      <c r="F49" s="48"/>
      <c r="G49" s="48"/>
      <c r="H49" s="48"/>
      <c r="I49" s="48"/>
      <c r="J49" s="48"/>
      <c r="K49" s="48"/>
      <c r="L49" s="48"/>
    </row>
    <row r="50" spans="1:12" ht="14.25" customHeight="1" x14ac:dyDescent="0.3">
      <c r="A50" s="36"/>
      <c r="B50" s="48"/>
      <c r="C50" s="48"/>
      <c r="D50" s="48"/>
      <c r="E50" s="48"/>
      <c r="F50" s="48"/>
      <c r="G50" s="48"/>
      <c r="H50" s="48"/>
      <c r="I50" s="48"/>
      <c r="J50" s="48"/>
      <c r="K50" s="48"/>
      <c r="L50" s="48"/>
    </row>
    <row r="51" spans="1:12" ht="14.25" customHeight="1" x14ac:dyDescent="0.3">
      <c r="A51" s="36"/>
      <c r="B51" s="223" t="s">
        <v>158</v>
      </c>
      <c r="C51" s="224"/>
      <c r="D51" s="224"/>
      <c r="E51" s="224"/>
      <c r="F51" s="224"/>
      <c r="G51" s="224"/>
      <c r="H51" s="224"/>
      <c r="I51" s="48"/>
      <c r="J51" s="48"/>
      <c r="K51" s="48"/>
      <c r="L51" s="48"/>
    </row>
    <row r="52" spans="1:12" ht="21" customHeight="1" x14ac:dyDescent="0.4">
      <c r="A52" s="36"/>
      <c r="B52" s="225" t="s">
        <v>159</v>
      </c>
      <c r="C52" s="226">
        <f>'WACC &amp; DCF Valuation'!B81</f>
        <v>514.75361681610957</v>
      </c>
      <c r="D52" s="48"/>
      <c r="E52" s="227" t="s">
        <v>160</v>
      </c>
      <c r="F52" s="228">
        <f>'WACC &amp; DCF Valuation'!B32</f>
        <v>0.12514351001725652</v>
      </c>
      <c r="G52" s="227" t="s">
        <v>161</v>
      </c>
      <c r="H52" s="228">
        <f>'WACC &amp; DCF Valuation'!B56</f>
        <v>0</v>
      </c>
      <c r="I52" s="48"/>
      <c r="J52" s="48"/>
      <c r="K52" s="48"/>
      <c r="L52" s="48"/>
    </row>
    <row r="53" spans="1:12" ht="14.25" customHeight="1" x14ac:dyDescent="0.3">
      <c r="A53" s="36"/>
      <c r="B53" s="595" t="s">
        <v>1301</v>
      </c>
      <c r="C53" s="793">
        <f>'WACC &amp; DCF Valuation'!B149</f>
        <v>458.75388238033253</v>
      </c>
      <c r="D53" s="48"/>
      <c r="E53" s="595" t="s">
        <v>160</v>
      </c>
      <c r="F53" s="794">
        <f>'WACC &amp; DCF Valuation'!B108</f>
        <v>0.14099999999999999</v>
      </c>
      <c r="G53" s="48"/>
      <c r="H53" s="48"/>
      <c r="I53" s="48"/>
      <c r="J53" s="48"/>
      <c r="K53" s="48"/>
      <c r="L53" s="48"/>
    </row>
    <row r="54" spans="1:12" ht="15" customHeight="1" outlineLevel="1" x14ac:dyDescent="0.3">
      <c r="A54" s="36"/>
      <c r="B54" s="229" t="s">
        <v>162</v>
      </c>
      <c r="C54" s="48"/>
      <c r="D54" s="48"/>
      <c r="E54" s="48"/>
      <c r="F54" s="48"/>
      <c r="G54" s="48"/>
      <c r="H54" s="48"/>
      <c r="I54" s="48"/>
      <c r="J54" s="48"/>
      <c r="K54" s="48"/>
      <c r="L54" s="48"/>
    </row>
    <row r="55" spans="1:12" ht="15" customHeight="1" outlineLevel="1" x14ac:dyDescent="0.3">
      <c r="A55" s="36"/>
      <c r="B55" s="48"/>
      <c r="C55" s="48"/>
      <c r="D55" s="48"/>
      <c r="E55" s="48"/>
      <c r="F55" s="48"/>
      <c r="G55" s="48"/>
      <c r="H55" s="48"/>
      <c r="I55" s="48"/>
      <c r="J55" s="48"/>
      <c r="K55" s="48"/>
      <c r="L55" s="48"/>
    </row>
    <row r="56" spans="1:12" ht="15" customHeight="1" outlineLevel="1" x14ac:dyDescent="0.3">
      <c r="A56" s="36"/>
      <c r="B56" s="48" t="s">
        <v>163</v>
      </c>
      <c r="C56" s="48"/>
      <c r="D56" s="48"/>
      <c r="E56" s="48"/>
      <c r="F56" s="48"/>
      <c r="G56" s="48"/>
      <c r="H56" s="48"/>
      <c r="I56" s="48"/>
      <c r="J56" s="48"/>
      <c r="K56" s="48"/>
      <c r="L56" s="48"/>
    </row>
    <row r="57" spans="1:12" ht="15" customHeight="1" outlineLevel="1" x14ac:dyDescent="0.3">
      <c r="A57" s="36"/>
      <c r="B57" s="48"/>
      <c r="C57" s="48" t="s">
        <v>144</v>
      </c>
      <c r="D57" s="48" t="s">
        <v>145</v>
      </c>
      <c r="E57" s="48" t="s">
        <v>146</v>
      </c>
      <c r="F57" s="48" t="s">
        <v>147</v>
      </c>
      <c r="G57" s="48" t="s">
        <v>148</v>
      </c>
      <c r="H57" s="48" t="s">
        <v>149</v>
      </c>
      <c r="I57" s="48" t="s">
        <v>1143</v>
      </c>
      <c r="J57" s="48" t="s">
        <v>1144</v>
      </c>
      <c r="K57" s="48" t="s">
        <v>1145</v>
      </c>
      <c r="L57" s="48" t="s">
        <v>1146</v>
      </c>
    </row>
    <row r="58" spans="1:12" ht="15" customHeight="1" outlineLevel="1" x14ac:dyDescent="0.3">
      <c r="A58" s="36"/>
      <c r="B58" s="207" t="s">
        <v>164</v>
      </c>
      <c r="C58" s="230">
        <f t="shared" ref="C58:H58" si="0">C6</f>
        <v>1572.8000000000002</v>
      </c>
      <c r="D58" s="230">
        <f t="shared" si="0"/>
        <v>1871.3300000000002</v>
      </c>
      <c r="E58" s="230">
        <f t="shared" si="0"/>
        <v>2081.1111165727916</v>
      </c>
      <c r="F58" s="230">
        <f t="shared" si="0"/>
        <v>2195.6110965727921</v>
      </c>
      <c r="G58" s="230">
        <f t="shared" si="0"/>
        <v>2195.6110965727921</v>
      </c>
      <c r="H58" s="230">
        <f t="shared" si="0"/>
        <v>2195.6110965727921</v>
      </c>
      <c r="I58" s="49">
        <f>I6</f>
        <v>2195.6110965727921</v>
      </c>
      <c r="J58" s="49">
        <f>J6</f>
        <v>2195.6110965727921</v>
      </c>
      <c r="K58" s="49">
        <f>K6</f>
        <v>2195.6110965727921</v>
      </c>
      <c r="L58" s="49">
        <f>L6</f>
        <v>2195.6110965727921</v>
      </c>
    </row>
    <row r="59" spans="1:12" ht="15" customHeight="1" outlineLevel="1" x14ac:dyDescent="0.3">
      <c r="A59" s="36"/>
      <c r="B59" s="48" t="s">
        <v>165</v>
      </c>
      <c r="C59" s="48"/>
      <c r="D59" s="50">
        <f>'The 3-Statement Projection'!C7</f>
        <v>0.18980798575788399</v>
      </c>
      <c r="E59" s="50">
        <f>'The 3-Statement Projection'!D7</f>
        <v>0.11210268449327027</v>
      </c>
      <c r="F59" s="50">
        <f>'The 3-Statement Projection'!E7</f>
        <v>5.5018676844396937E-2</v>
      </c>
      <c r="G59" s="50">
        <f>'The 3-Statement Projection'!F7</f>
        <v>0</v>
      </c>
      <c r="H59" s="50">
        <f>'The 3-Statement Projection'!G7</f>
        <v>0</v>
      </c>
      <c r="I59" s="50">
        <f>'The 3-Statement Projection'!H7</f>
        <v>0</v>
      </c>
      <c r="J59" s="50">
        <f>'The 3-Statement Projection'!I7</f>
        <v>0</v>
      </c>
      <c r="K59" s="50">
        <f>'The 3-Statement Projection'!J7</f>
        <v>0</v>
      </c>
      <c r="L59" s="50">
        <f>'The 3-Statement Projection'!K7</f>
        <v>0</v>
      </c>
    </row>
    <row r="60" spans="1:12" ht="15" customHeight="1" outlineLevel="1" x14ac:dyDescent="0.3">
      <c r="A60" s="36"/>
      <c r="B60" s="48"/>
      <c r="C60" s="48"/>
      <c r="D60" s="48"/>
      <c r="E60" s="48"/>
      <c r="F60" s="48"/>
      <c r="G60" s="48"/>
      <c r="H60" s="48"/>
      <c r="I60" s="48"/>
      <c r="J60" s="48"/>
      <c r="K60" s="48"/>
      <c r="L60" s="48"/>
    </row>
    <row r="61" spans="1:12" ht="15" customHeight="1" outlineLevel="1" x14ac:dyDescent="0.3">
      <c r="A61" s="36"/>
      <c r="B61" s="48"/>
      <c r="C61" s="48"/>
      <c r="D61" s="48"/>
      <c r="E61" s="48"/>
      <c r="F61" s="48"/>
      <c r="G61" s="48"/>
      <c r="H61" s="48"/>
      <c r="I61" s="48"/>
      <c r="J61" s="48"/>
      <c r="K61" s="48"/>
      <c r="L61" s="48"/>
    </row>
    <row r="62" spans="1:12" ht="15" customHeight="1" outlineLevel="1" x14ac:dyDescent="0.3">
      <c r="A62" s="36"/>
      <c r="B62" s="48" t="s">
        <v>166</v>
      </c>
      <c r="C62" s="48"/>
      <c r="D62" s="48"/>
      <c r="E62" s="48"/>
      <c r="F62" s="48"/>
      <c r="G62" s="48"/>
      <c r="H62" s="48"/>
      <c r="I62" s="48"/>
      <c r="J62" s="48"/>
      <c r="K62" s="48"/>
      <c r="L62" s="48"/>
    </row>
    <row r="63" spans="1:12" ht="15" customHeight="1" outlineLevel="1" x14ac:dyDescent="0.3">
      <c r="A63" s="36"/>
      <c r="B63" s="48"/>
      <c r="C63" s="48" t="s">
        <v>144</v>
      </c>
      <c r="D63" s="48" t="s">
        <v>145</v>
      </c>
      <c r="E63" s="48" t="s">
        <v>146</v>
      </c>
      <c r="F63" s="48" t="s">
        <v>147</v>
      </c>
      <c r="G63" s="48" t="s">
        <v>148</v>
      </c>
      <c r="H63" s="48" t="s">
        <v>149</v>
      </c>
      <c r="I63" s="48" t="s">
        <v>1143</v>
      </c>
      <c r="J63" s="48" t="s">
        <v>1144</v>
      </c>
      <c r="K63" s="48" t="s">
        <v>1145</v>
      </c>
      <c r="L63" s="48" t="s">
        <v>1146</v>
      </c>
    </row>
    <row r="64" spans="1:12" ht="15" customHeight="1" outlineLevel="1" x14ac:dyDescent="0.3">
      <c r="A64" s="36"/>
      <c r="B64" s="48" t="s">
        <v>167</v>
      </c>
      <c r="C64" s="50">
        <f>'The 3-Statement Projection'!B10/'The 3-Statement Projection'!B6</f>
        <v>0.15022889114954205</v>
      </c>
      <c r="D64" s="50">
        <f>'The 3-Statement Projection'!C10/'The 3-Statement Projection'!C6</f>
        <v>0.15809076966649394</v>
      </c>
      <c r="E64" s="50">
        <f>'The 3-Statement Projection'!D10/'The 3-Statement Projection'!D6</f>
        <v>0.22917245056367208</v>
      </c>
      <c r="F64" s="50">
        <f>'The 3-Statement Projection'!E10/'The 3-Statement Projection'!E6</f>
        <v>0.2107687053828334</v>
      </c>
      <c r="G64" s="50">
        <f>'The 3-Statement Projection'!F10/'The 3-Statement Projection'!F6</f>
        <v>0.21276870538283335</v>
      </c>
      <c r="H64" s="50">
        <f>'The 3-Statement Projection'!G10/'The 3-Statement Projection'!G6</f>
        <v>0.21476870538283341</v>
      </c>
      <c r="I64" s="50">
        <f>'The 3-Statement Projection'!H10/'The 3-Statement Projection'!H6</f>
        <v>0.21476870538283341</v>
      </c>
      <c r="J64" s="50">
        <f>'The 3-Statement Projection'!I10/'The 3-Statement Projection'!I6</f>
        <v>0.21476870538283341</v>
      </c>
      <c r="K64" s="50">
        <f>'The 3-Statement Projection'!J10/'The 3-Statement Projection'!J6</f>
        <v>0.21476870538283341</v>
      </c>
      <c r="L64" s="50">
        <f>'The 3-Statement Projection'!K10/'The 3-Statement Projection'!K6</f>
        <v>0.21476870538283341</v>
      </c>
    </row>
    <row r="65" spans="1:12" ht="15" customHeight="1" outlineLevel="1" x14ac:dyDescent="0.3">
      <c r="A65" s="36"/>
      <c r="B65" s="48" t="s">
        <v>168</v>
      </c>
      <c r="C65" s="50">
        <f t="shared" ref="C65:H65" si="1">C7</f>
        <v>0.10350966429298049</v>
      </c>
      <c r="D65" s="50">
        <f t="shared" si="1"/>
        <v>0.10711098523510022</v>
      </c>
      <c r="E65" s="50">
        <f t="shared" si="1"/>
        <v>0.18247245056367206</v>
      </c>
      <c r="F65" s="50">
        <f t="shared" si="1"/>
        <v>0.16406870538283339</v>
      </c>
      <c r="G65" s="50">
        <f t="shared" si="1"/>
        <v>0.16606870538283336</v>
      </c>
      <c r="H65" s="50">
        <f t="shared" si="1"/>
        <v>0.16806870538283342</v>
      </c>
      <c r="I65" s="50">
        <f>I7</f>
        <v>0.16806870538283342</v>
      </c>
      <c r="J65" s="50">
        <f>J7</f>
        <v>0.16806870538283342</v>
      </c>
      <c r="K65" s="50">
        <f>K7</f>
        <v>0.16806870538283342</v>
      </c>
      <c r="L65" s="50">
        <f>L7</f>
        <v>0.16806870538283342</v>
      </c>
    </row>
    <row r="66" spans="1:12" ht="15" customHeight="1" outlineLevel="1" x14ac:dyDescent="0.3">
      <c r="A66" s="36"/>
      <c r="B66" s="48" t="s">
        <v>169</v>
      </c>
      <c r="C66" s="50">
        <f>'The 3-Statement Projection'!B28</f>
        <v>6.0967700915564423E-2</v>
      </c>
      <c r="D66" s="50">
        <f>'The 3-Statement Projection'!C28</f>
        <v>6.123986683268056E-2</v>
      </c>
      <c r="E66" s="50">
        <f ca="1">'The 3-Statement Projection'!D28</f>
        <v>0.10850486302641663</v>
      </c>
      <c r="F66" s="50">
        <f ca="1">'The 3-Statement Projection'!E28</f>
        <v>9.098884398843099E-2</v>
      </c>
      <c r="G66" s="50">
        <f ca="1">'The 3-Statement Projection'!F28</f>
        <v>9.5803008186005248E-2</v>
      </c>
      <c r="H66" s="50">
        <f ca="1">'The 3-Statement Projection'!G28</f>
        <v>9.8296639376750108E-2</v>
      </c>
      <c r="I66" s="50">
        <f ca="1">'The 3-Statement Projection'!H28</f>
        <v>9.9232053864238362E-2</v>
      </c>
      <c r="J66" s="50">
        <f ca="1">'The 3-Statement Projection'!I28</f>
        <v>0.10015162897227617</v>
      </c>
      <c r="K66" s="50">
        <f ca="1">'The 3-Statement Projection'!J28</f>
        <v>0.1010596848876591</v>
      </c>
      <c r="L66" s="50">
        <f ca="1">'The 3-Statement Projection'!K28</f>
        <v>0.10195593363057083</v>
      </c>
    </row>
    <row r="67" spans="1:12" ht="15" customHeight="1" outlineLevel="1" x14ac:dyDescent="0.3">
      <c r="A67" s="36"/>
      <c r="B67" s="48"/>
      <c r="C67" s="48"/>
      <c r="D67" s="48"/>
      <c r="E67" s="48"/>
      <c r="F67" s="48"/>
      <c r="G67" s="48"/>
      <c r="H67" s="48"/>
      <c r="I67" s="48"/>
      <c r="J67" s="48"/>
      <c r="K67" s="48"/>
      <c r="L67" s="48"/>
    </row>
    <row r="68" spans="1:12" ht="15" customHeight="1" outlineLevel="1" x14ac:dyDescent="0.3">
      <c r="A68" s="36"/>
      <c r="B68" s="48"/>
      <c r="C68" s="48"/>
      <c r="D68" s="48"/>
      <c r="E68" s="48"/>
      <c r="F68" s="48"/>
      <c r="G68" s="48"/>
      <c r="H68" s="48"/>
      <c r="I68" s="48"/>
      <c r="J68" s="48"/>
      <c r="K68" s="48"/>
      <c r="L68" s="48"/>
    </row>
    <row r="69" spans="1:12" ht="15" customHeight="1" outlineLevel="1" x14ac:dyDescent="0.3">
      <c r="A69" s="36"/>
      <c r="B69" s="207" t="s">
        <v>170</v>
      </c>
      <c r="C69" s="207"/>
      <c r="D69" s="207"/>
      <c r="E69" s="207"/>
      <c r="F69" s="207"/>
      <c r="G69" s="207"/>
      <c r="H69" s="207"/>
      <c r="I69" s="48"/>
      <c r="J69" s="48"/>
      <c r="K69" s="48"/>
      <c r="L69" s="48"/>
    </row>
    <row r="70" spans="1:12" ht="15" customHeight="1" outlineLevel="1" x14ac:dyDescent="0.3">
      <c r="A70" s="36"/>
      <c r="B70" s="48"/>
      <c r="C70" s="48" t="s">
        <v>144</v>
      </c>
      <c r="D70" s="48" t="s">
        <v>145</v>
      </c>
      <c r="E70" s="48" t="s">
        <v>146</v>
      </c>
      <c r="F70" s="48" t="s">
        <v>147</v>
      </c>
      <c r="G70" s="48" t="s">
        <v>148</v>
      </c>
      <c r="H70" s="48" t="s">
        <v>149</v>
      </c>
      <c r="I70" s="48" t="s">
        <v>1143</v>
      </c>
      <c r="J70" s="48" t="s">
        <v>1144</v>
      </c>
      <c r="K70" s="48" t="s">
        <v>1145</v>
      </c>
      <c r="L70" s="48" t="s">
        <v>1146</v>
      </c>
    </row>
    <row r="71" spans="1:12" ht="15" customHeight="1" outlineLevel="1" x14ac:dyDescent="0.3">
      <c r="A71" s="36"/>
      <c r="B71" s="48" t="s">
        <v>171</v>
      </c>
      <c r="C71" s="51">
        <f t="shared" ref="C71:H71" si="2">C9</f>
        <v>324.82</v>
      </c>
      <c r="D71" s="51">
        <f t="shared" si="2"/>
        <v>545.81999999999994</v>
      </c>
      <c r="E71" s="51">
        <f t="shared" ca="1" si="2"/>
        <v>613.09999999999991</v>
      </c>
      <c r="F71" s="51">
        <f t="shared" ca="1" si="2"/>
        <v>419.118709056135</v>
      </c>
      <c r="G71" s="51">
        <f t="shared" ca="1" si="2"/>
        <v>351.79999999999995</v>
      </c>
      <c r="H71" s="51">
        <f t="shared" ca="1" si="2"/>
        <v>306.49999999999994</v>
      </c>
      <c r="I71" s="51">
        <f ca="1">I9</f>
        <v>261.49999999999994</v>
      </c>
      <c r="J71" s="51">
        <f ca="1">J9</f>
        <v>216.49999999999994</v>
      </c>
      <c r="K71" s="51">
        <f ca="1">K9</f>
        <v>171.49999999999994</v>
      </c>
      <c r="L71" s="51">
        <f ca="1">L9</f>
        <v>126.49999999999996</v>
      </c>
    </row>
    <row r="72" spans="1:12" ht="15" customHeight="1" outlineLevel="1" x14ac:dyDescent="0.3">
      <c r="A72" s="36"/>
      <c r="B72" s="48" t="s">
        <v>172</v>
      </c>
      <c r="C72" s="51">
        <f>'The 3-Statement Projection'!B67</f>
        <v>74.8</v>
      </c>
      <c r="D72" s="51">
        <f>'The 3-Statement Projection'!C67</f>
        <v>210.18</v>
      </c>
      <c r="E72" s="51">
        <f ca="1">'The 3-Statement Projection'!D67</f>
        <v>32.122825181633118</v>
      </c>
      <c r="F72" s="51">
        <f ca="1">'The 3-Statement Projection'!E67</f>
        <v>20</v>
      </c>
      <c r="G72" s="51">
        <f ca="1">'The 3-Statement Projection'!F67</f>
        <v>298.26035540516528</v>
      </c>
      <c r="H72" s="51">
        <f ca="1">'The 3-Statement Projection'!G67</f>
        <v>447.28283810950688</v>
      </c>
      <c r="I72" s="51">
        <f ca="1">'The 3-Statement Projection'!H67</f>
        <v>591.82164547764239</v>
      </c>
      <c r="J72" s="51">
        <f ca="1">'The 3-Statement Projection'!I67</f>
        <v>734.66563800794097</v>
      </c>
      <c r="K72" s="51">
        <f ca="1">'The 3-Statement Projection'!J67</f>
        <v>856.93983822731923</v>
      </c>
      <c r="L72" s="51">
        <f ca="1">'The 3-Statement Projection'!K67</f>
        <v>980.69601148192726</v>
      </c>
    </row>
    <row r="73" spans="1:12" ht="15" customHeight="1" outlineLevel="1" x14ac:dyDescent="0.3">
      <c r="A73" s="36"/>
      <c r="B73" s="48" t="s">
        <v>173</v>
      </c>
      <c r="C73" s="51">
        <f t="shared" ref="C73:H73" si="3">C71-C72</f>
        <v>250.01999999999998</v>
      </c>
      <c r="D73" s="51">
        <f t="shared" si="3"/>
        <v>335.63999999999993</v>
      </c>
      <c r="E73" s="51">
        <f t="shared" ca="1" si="3"/>
        <v>580.97717481836685</v>
      </c>
      <c r="F73" s="51">
        <f t="shared" ca="1" si="3"/>
        <v>399.118709056135</v>
      </c>
      <c r="G73" s="51">
        <f t="shared" ca="1" si="3"/>
        <v>53.53964459483467</v>
      </c>
      <c r="H73" s="51">
        <f t="shared" ca="1" si="3"/>
        <v>-140.78283810950694</v>
      </c>
      <c r="I73" s="51">
        <f ca="1">I71-I72</f>
        <v>-330.32164547764245</v>
      </c>
      <c r="J73" s="51">
        <f ca="1">J71-J72</f>
        <v>-518.16563800794097</v>
      </c>
      <c r="K73" s="51">
        <f ca="1">K71-K72</f>
        <v>-685.43983822731934</v>
      </c>
      <c r="L73" s="51">
        <f ca="1">L71-L72</f>
        <v>-854.19601148192726</v>
      </c>
    </row>
    <row r="74" spans="1:12" ht="15" customHeight="1" outlineLevel="1" x14ac:dyDescent="0.3">
      <c r="A74" s="36"/>
      <c r="B74" s="48"/>
      <c r="C74" s="48"/>
      <c r="D74" s="48"/>
      <c r="E74" s="48"/>
      <c r="F74" s="48"/>
      <c r="G74" s="48"/>
      <c r="H74" s="48"/>
      <c r="I74" s="48"/>
      <c r="J74" s="48"/>
      <c r="K74" s="48"/>
      <c r="L74" s="48"/>
    </row>
    <row r="75" spans="1:12" ht="15" customHeight="1" outlineLevel="1" x14ac:dyDescent="0.3">
      <c r="A75" s="36"/>
      <c r="B75" s="48"/>
      <c r="C75" s="48"/>
      <c r="D75" s="48"/>
      <c r="E75" s="48"/>
      <c r="F75" s="48"/>
      <c r="G75" s="48"/>
      <c r="H75" s="48"/>
      <c r="I75" s="48"/>
      <c r="J75" s="48"/>
      <c r="K75" s="48"/>
      <c r="L75" s="48"/>
    </row>
    <row r="76" spans="1:12" ht="15" customHeight="1" outlineLevel="1" x14ac:dyDescent="0.3">
      <c r="A76" s="36"/>
      <c r="B76" s="48" t="s">
        <v>174</v>
      </c>
      <c r="C76" s="48"/>
      <c r="D76" s="48"/>
      <c r="E76" s="48"/>
      <c r="F76" s="48"/>
      <c r="G76" s="48"/>
      <c r="H76" s="48"/>
      <c r="I76" s="48"/>
      <c r="J76" s="48"/>
      <c r="K76" s="48"/>
      <c r="L76" s="48"/>
    </row>
    <row r="77" spans="1:12" ht="15" customHeight="1" outlineLevel="1" x14ac:dyDescent="0.3">
      <c r="A77" s="36"/>
      <c r="B77" s="48"/>
      <c r="C77" s="48" t="s">
        <v>175</v>
      </c>
      <c r="D77" s="48" t="s">
        <v>176</v>
      </c>
      <c r="E77" s="48" t="s">
        <v>177</v>
      </c>
      <c r="F77" s="48"/>
      <c r="G77" s="48"/>
      <c r="H77" s="48"/>
      <c r="I77" s="48"/>
      <c r="J77" s="48"/>
      <c r="K77" s="48"/>
      <c r="L77" s="48"/>
    </row>
    <row r="78" spans="1:12" ht="15" customHeight="1" outlineLevel="1" x14ac:dyDescent="0.3">
      <c r="A78" s="36"/>
      <c r="B78" s="48" t="s">
        <v>1291</v>
      </c>
      <c r="C78" s="231">
        <f>'Sensitivity Analysis'!B15</f>
        <v>465.82130649331788</v>
      </c>
      <c r="D78" s="51">
        <f>'Sensitivity Analysis'!D15-'Sensitivity Analysis'!B15</f>
        <v>42.875384595916898</v>
      </c>
      <c r="E78" s="51">
        <f>'Sensitivity Analysis'!F15-'Sensitivity Analysis'!D15</f>
        <v>60.900948121223053</v>
      </c>
      <c r="F78" s="48"/>
      <c r="G78" s="48"/>
      <c r="H78" s="48"/>
      <c r="I78" s="48"/>
      <c r="J78" s="48"/>
      <c r="K78" s="48"/>
      <c r="L78" s="48"/>
    </row>
    <row r="79" spans="1:12" ht="15" customHeight="1" outlineLevel="1" x14ac:dyDescent="0.3">
      <c r="A79" s="36"/>
      <c r="B79" s="48" t="s">
        <v>178</v>
      </c>
      <c r="C79" s="231">
        <f>'Sensitivity Analysis'!B14</f>
        <v>489.35897580367839</v>
      </c>
      <c r="D79" s="51">
        <f>'Sensitivity Analysis'!D14-'Sensitivity Analysis'!B14</f>
        <v>48.004448562957464</v>
      </c>
      <c r="E79" s="51">
        <f>'Sensitivity Analysis'!F14-'Sensitivity Analysis'!D14</f>
        <v>69.305792854417859</v>
      </c>
      <c r="F79" s="48"/>
      <c r="G79" s="48"/>
      <c r="H79" s="48"/>
      <c r="I79" s="48"/>
      <c r="J79" s="48"/>
      <c r="K79" s="48"/>
      <c r="L79" s="48"/>
    </row>
    <row r="80" spans="1:12" ht="15" customHeight="1" outlineLevel="1" x14ac:dyDescent="0.3">
      <c r="A80" s="36"/>
      <c r="B80" s="48" t="s">
        <v>179</v>
      </c>
      <c r="C80" s="231">
        <f>'Sensitivity Analysis'!B13</f>
        <v>514.75361681610957</v>
      </c>
      <c r="D80" s="51">
        <f>'Sensitivity Analysis'!D13-'Sensitivity Analysis'!B13</f>
        <v>53.945080039219079</v>
      </c>
      <c r="E80" s="51">
        <f>'Sensitivity Analysis'!F13-'Sensitivity Analysis'!D13</f>
        <v>79.288211901311684</v>
      </c>
      <c r="F80" s="48"/>
      <c r="G80" s="48"/>
      <c r="H80" s="48"/>
      <c r="I80" s="48"/>
      <c r="J80" s="48"/>
      <c r="K80" s="48"/>
      <c r="L80" s="48"/>
    </row>
    <row r="81" spans="1:12" ht="15" customHeight="1" outlineLevel="1" x14ac:dyDescent="0.3">
      <c r="A81" s="36"/>
      <c r="B81" s="207" t="s">
        <v>180</v>
      </c>
      <c r="C81" s="232">
        <f>'Sensitivity Analysis'!B12</f>
        <v>542.23561348619728</v>
      </c>
      <c r="D81" s="784">
        <f>'Sensitivity Analysis'!D12-'Sensitivity Analysis'!B12</f>
        <v>60.863831277910663</v>
      </c>
      <c r="E81" s="784">
        <f>'Sensitivity Analysis'!F12-'Sensitivity Analysis'!D12</f>
        <v>91.241253611824277</v>
      </c>
      <c r="F81" s="207"/>
      <c r="G81" s="207"/>
      <c r="H81" s="207"/>
      <c r="I81" s="48"/>
      <c r="J81" s="48"/>
      <c r="K81" s="48"/>
      <c r="L81" s="48"/>
    </row>
    <row r="82" spans="1:12" ht="15" customHeight="1" outlineLevel="1" x14ac:dyDescent="0.3">
      <c r="A82" s="36"/>
      <c r="B82" s="48" t="s">
        <v>1292</v>
      </c>
      <c r="C82" s="231">
        <f>'Sensitivity Analysis'!B11</f>
        <v>572.07528669385295</v>
      </c>
      <c r="D82" s="51">
        <f>'Sensitivity Analysis'!D11-'Sensitivity Analysis'!B11</f>
        <v>68.970618241286729</v>
      </c>
      <c r="E82" s="51">
        <f>'Sensitivity Analysis'!F11-'Sensitivity Analysis'!D11</f>
        <v>105.68469679601333</v>
      </c>
      <c r="F82" s="48"/>
      <c r="G82" s="48"/>
      <c r="H82" s="48"/>
      <c r="I82" s="48"/>
      <c r="J82" s="48"/>
      <c r="K82" s="48"/>
      <c r="L82" s="48"/>
    </row>
    <row r="83" spans="1:12" ht="14.25" customHeight="1" x14ac:dyDescent="0.3">
      <c r="A83" s="36"/>
      <c r="B83" s="48" t="s">
        <v>1302</v>
      </c>
      <c r="C83" s="795">
        <f>'WACC &amp; DCF Valuation'!F156</f>
        <v>458.75388238033253</v>
      </c>
      <c r="D83" s="795">
        <f>C80-C83</f>
        <v>55.999734435777043</v>
      </c>
      <c r="E83" s="795">
        <v>0</v>
      </c>
      <c r="F83" s="48"/>
      <c r="G83" s="48"/>
      <c r="H83" s="48"/>
      <c r="I83" s="48"/>
      <c r="J83" s="48"/>
      <c r="K83" s="48"/>
      <c r="L83" s="48"/>
    </row>
    <row r="84" spans="1:12" ht="14.25" customHeight="1" x14ac:dyDescent="0.3">
      <c r="A84" s="36"/>
      <c r="B84" s="48"/>
      <c r="C84" s="48"/>
      <c r="D84" s="48"/>
      <c r="E84" s="48"/>
      <c r="F84" s="48"/>
      <c r="G84" s="48"/>
      <c r="H84" s="48"/>
      <c r="I84" s="48"/>
      <c r="J84" s="48"/>
      <c r="K84" s="48"/>
      <c r="L84" s="48"/>
    </row>
    <row r="85" spans="1:12" ht="14.25" customHeight="1" x14ac:dyDescent="0.3">
      <c r="A85" s="36"/>
      <c r="B85" s="223" t="s">
        <v>181</v>
      </c>
      <c r="C85" s="224"/>
      <c r="D85" s="224"/>
      <c r="E85" s="224"/>
      <c r="F85" s="224"/>
      <c r="G85" s="224"/>
      <c r="H85" s="224"/>
      <c r="I85" s="48"/>
      <c r="J85" s="48"/>
      <c r="K85" s="48"/>
      <c r="L85" s="48"/>
    </row>
    <row r="86" spans="1:12" ht="18" customHeight="1" x14ac:dyDescent="0.3">
      <c r="A86" s="36"/>
      <c r="B86" s="225" t="s">
        <v>52</v>
      </c>
      <c r="C86" s="233" t="str">
        <f>'Scenario Engine'!B3</f>
        <v>Base</v>
      </c>
      <c r="D86" s="234" t="s">
        <v>182</v>
      </c>
      <c r="E86" s="48"/>
      <c r="F86" s="48"/>
      <c r="G86" s="48"/>
      <c r="H86" s="48"/>
      <c r="I86" s="48"/>
      <c r="J86" s="48"/>
      <c r="K86" s="48"/>
      <c r="L86" s="48"/>
    </row>
    <row r="87" spans="1:12" ht="30" customHeight="1" x14ac:dyDescent="0.3">
      <c r="A87" s="36"/>
      <c r="B87" s="60" t="s">
        <v>183</v>
      </c>
      <c r="C87" s="48"/>
      <c r="D87" s="48"/>
      <c r="E87" s="48"/>
      <c r="F87" s="48"/>
      <c r="G87" s="48"/>
      <c r="H87" s="48"/>
      <c r="I87" s="48"/>
      <c r="J87" s="48"/>
      <c r="K87" s="48"/>
      <c r="L87" s="48"/>
    </row>
    <row r="88" spans="1:12" ht="30" customHeight="1" x14ac:dyDescent="0.3">
      <c r="A88" s="36"/>
      <c r="B88" s="48"/>
      <c r="C88" s="48"/>
      <c r="D88" s="48"/>
      <c r="E88" s="48"/>
      <c r="F88" s="48"/>
      <c r="G88" s="48"/>
      <c r="H88" s="48"/>
      <c r="I88" s="48"/>
      <c r="J88" s="48"/>
      <c r="K88" s="48"/>
      <c r="L88" s="48"/>
    </row>
    <row r="89" spans="1:12" ht="30" customHeight="1" x14ac:dyDescent="0.3">
      <c r="A89" s="36"/>
      <c r="B89" s="65" t="s">
        <v>184</v>
      </c>
      <c r="C89" s="48"/>
      <c r="D89" s="48"/>
      <c r="E89" s="48"/>
      <c r="F89" s="48"/>
      <c r="G89" s="48"/>
      <c r="H89" s="48"/>
      <c r="I89" s="48"/>
      <c r="J89" s="48"/>
      <c r="K89" s="48"/>
      <c r="L89" s="48"/>
    </row>
    <row r="90" spans="1:12" ht="30" customHeight="1" x14ac:dyDescent="0.3">
      <c r="A90" s="36"/>
      <c r="B90" s="235" t="s">
        <v>185</v>
      </c>
      <c r="C90" s="48"/>
      <c r="D90" s="48"/>
      <c r="E90" s="48"/>
      <c r="F90" s="48"/>
      <c r="G90" s="48"/>
      <c r="H90" s="48"/>
      <c r="I90" s="48"/>
      <c r="J90" s="48"/>
      <c r="K90" s="48"/>
      <c r="L90" s="48"/>
    </row>
    <row r="91" spans="1:12" ht="30" customHeight="1" x14ac:dyDescent="0.3">
      <c r="A91" s="36"/>
      <c r="B91" s="235" t="s">
        <v>186</v>
      </c>
      <c r="C91" s="48"/>
      <c r="D91" s="48"/>
      <c r="E91" s="48"/>
      <c r="F91" s="48"/>
      <c r="G91" s="48"/>
      <c r="H91" s="48"/>
      <c r="I91" s="48"/>
      <c r="J91" s="48"/>
      <c r="K91" s="48"/>
      <c r="L91" s="48"/>
    </row>
    <row r="92" spans="1:12" ht="14.25" customHeight="1" x14ac:dyDescent="0.3">
      <c r="A92" s="36"/>
      <c r="B92" s="48"/>
      <c r="C92" s="48"/>
      <c r="D92" s="48"/>
      <c r="E92" s="48"/>
      <c r="F92" s="48"/>
      <c r="G92" s="48"/>
      <c r="H92" s="48"/>
      <c r="I92" s="48"/>
      <c r="J92" s="48"/>
      <c r="K92" s="48"/>
      <c r="L92" s="48"/>
    </row>
    <row r="93" spans="1:12" ht="14.25" customHeight="1" x14ac:dyDescent="0.3">
      <c r="A93" s="36"/>
      <c r="B93" s="223" t="s">
        <v>187</v>
      </c>
      <c r="C93" s="224"/>
      <c r="D93" s="224"/>
      <c r="E93" s="224"/>
      <c r="F93" s="224"/>
      <c r="G93" s="224"/>
      <c r="H93" s="224"/>
      <c r="I93" s="48"/>
      <c r="J93" s="48"/>
      <c r="K93" s="48"/>
      <c r="L93" s="48"/>
    </row>
    <row r="94" spans="1:12" ht="14.25" customHeight="1" x14ac:dyDescent="0.3">
      <c r="A94" s="36"/>
      <c r="B94" s="207"/>
      <c r="C94" s="207"/>
      <c r="D94" s="207"/>
      <c r="E94" s="207"/>
      <c r="F94" s="207"/>
      <c r="G94" s="207"/>
      <c r="H94" s="207"/>
      <c r="I94" s="48"/>
      <c r="J94" s="48"/>
      <c r="K94" s="48"/>
      <c r="L94" s="48"/>
    </row>
    <row r="95" spans="1:12" ht="14.25" customHeight="1" x14ac:dyDescent="0.3">
      <c r="A95" s="36"/>
      <c r="B95" s="65" t="s">
        <v>188</v>
      </c>
      <c r="C95" s="48"/>
      <c r="D95" s="48"/>
      <c r="E95" s="48"/>
      <c r="F95" s="48"/>
      <c r="G95" s="48"/>
      <c r="H95" s="48"/>
      <c r="I95" s="48"/>
      <c r="J95" s="48"/>
      <c r="K95" s="48"/>
      <c r="L95" s="48"/>
    </row>
    <row r="96" spans="1:12" ht="64.5" customHeight="1" x14ac:dyDescent="0.3">
      <c r="A96" s="36"/>
      <c r="B96" s="857" t="s">
        <v>1294</v>
      </c>
      <c r="C96" s="48"/>
      <c r="D96" s="48"/>
      <c r="E96" s="48"/>
      <c r="F96" s="48"/>
      <c r="G96" s="48"/>
      <c r="H96" s="48"/>
      <c r="I96" s="48"/>
      <c r="J96" s="48"/>
      <c r="K96" s="48"/>
      <c r="L96" s="48"/>
    </row>
    <row r="97" spans="1:12" ht="14.25" customHeight="1" x14ac:dyDescent="0.3">
      <c r="A97" s="36"/>
      <c r="B97" s="48"/>
      <c r="C97" s="48"/>
      <c r="D97" s="48"/>
      <c r="E97" s="48"/>
      <c r="F97" s="48"/>
      <c r="G97" s="48"/>
      <c r="H97" s="48"/>
      <c r="I97" s="48"/>
      <c r="J97" s="48"/>
      <c r="K97" s="48"/>
      <c r="L97" s="48"/>
    </row>
    <row r="98" spans="1:12" ht="14.25" customHeight="1" x14ac:dyDescent="0.3">
      <c r="A98" s="36"/>
      <c r="B98" s="65" t="s">
        <v>189</v>
      </c>
      <c r="C98" s="48"/>
      <c r="D98" s="48"/>
      <c r="E98" s="48"/>
      <c r="F98" s="48"/>
      <c r="G98" s="48"/>
      <c r="H98" s="48"/>
      <c r="I98" s="48"/>
      <c r="J98" s="48"/>
      <c r="K98" s="48"/>
      <c r="L98" s="48"/>
    </row>
    <row r="99" spans="1:12" ht="64.5" customHeight="1" x14ac:dyDescent="0.3">
      <c r="A99" s="36"/>
      <c r="B99" s="857" t="s">
        <v>1295</v>
      </c>
      <c r="C99" s="48"/>
      <c r="D99" s="48"/>
      <c r="E99" s="48"/>
      <c r="F99" s="48"/>
      <c r="G99" s="48"/>
      <c r="H99" s="48"/>
      <c r="I99" s="48"/>
      <c r="J99" s="48"/>
      <c r="K99" s="48"/>
      <c r="L99" s="48"/>
    </row>
    <row r="100" spans="1:12" ht="14.25" customHeight="1" x14ac:dyDescent="0.3">
      <c r="A100" s="36"/>
      <c r="B100" s="48"/>
      <c r="C100" s="48"/>
      <c r="D100" s="48"/>
      <c r="E100" s="48"/>
      <c r="F100" s="48"/>
      <c r="G100" s="48"/>
      <c r="H100" s="48"/>
      <c r="I100" s="48"/>
      <c r="J100" s="48"/>
      <c r="K100" s="48"/>
      <c r="L100" s="48"/>
    </row>
    <row r="101" spans="1:12" ht="14.25" customHeight="1" x14ac:dyDescent="0.3">
      <c r="A101" s="36"/>
      <c r="B101" s="65" t="s">
        <v>190</v>
      </c>
      <c r="C101" s="48"/>
      <c r="D101" s="48"/>
      <c r="E101" s="48"/>
      <c r="F101" s="48"/>
      <c r="G101" s="48"/>
      <c r="H101" s="48"/>
      <c r="I101" s="48"/>
      <c r="J101" s="48"/>
      <c r="K101" s="48"/>
      <c r="L101" s="48"/>
    </row>
    <row r="102" spans="1:12" ht="64.5" customHeight="1" x14ac:dyDescent="0.3">
      <c r="A102" s="36"/>
      <c r="B102" s="857" t="s">
        <v>1296</v>
      </c>
      <c r="C102" s="48"/>
      <c r="D102" s="48"/>
      <c r="E102" s="48"/>
      <c r="F102" s="48"/>
      <c r="G102" s="48"/>
      <c r="H102" s="48"/>
      <c r="I102" s="48"/>
      <c r="J102" s="48"/>
      <c r="K102" s="48"/>
      <c r="L102" s="48"/>
    </row>
    <row r="103" spans="1:12" ht="64.5" customHeight="1" x14ac:dyDescent="0.3">
      <c r="A103" s="36"/>
      <c r="B103" s="106"/>
      <c r="C103" s="48"/>
      <c r="D103" s="48"/>
      <c r="E103" s="48"/>
      <c r="F103" s="48"/>
      <c r="G103" s="48"/>
      <c r="H103" s="48"/>
      <c r="I103" s="48"/>
      <c r="J103" s="48"/>
      <c r="K103" s="48"/>
      <c r="L103" s="48"/>
    </row>
    <row r="104" spans="1:12" ht="64.5" customHeight="1" x14ac:dyDescent="0.3">
      <c r="A104" s="36"/>
      <c r="B104" s="105" t="s">
        <v>191</v>
      </c>
      <c r="C104" s="48"/>
      <c r="D104" s="48"/>
      <c r="E104" s="48"/>
      <c r="F104" s="48"/>
      <c r="G104" s="48"/>
      <c r="H104" s="48"/>
      <c r="I104" s="48"/>
      <c r="J104" s="48"/>
      <c r="K104" s="48"/>
      <c r="L104" s="48"/>
    </row>
    <row r="105" spans="1:12" ht="64.5" customHeight="1" x14ac:dyDescent="0.3">
      <c r="A105" s="36"/>
      <c r="B105" s="105" t="str">
        <f>IF('Scenario Engine'!B3="Bear",_xlfn._LONGTEXT("⚠️ BEAR CASE: Deleveraging is delayed due to FX-driven margin compression and higher working capital friction. Imported coal costs rise sharply (USD/INR at ₹91, coal at $210/MT), squeezing gross margins. EBITDA margins pressured below 14%. Revenue flatten","s after FY27E (mentor-aligned flat-revenue toggle). Equity value is significantly discounted."),IF('Scenario Engine'!B3="Bull",_xlfn._LONGTEXT("✅ BULL CASE: Favourable FX (USD/INR at ₹82) and lower coal prices ($150/MT) support margin stability. EBITDA margins hold at ~17-19%. Working capital normalises rapidly, freeing cash for accelerated deleveraging. Higher terminal growth (g=4%) lifts valuat","ion."),"📊 BASE CASE: Mid-cycle assumptions — USD/INR at ₹85, coal at $170/MT. EBITDA margins improve from "&amp;TEXT('The 3-Statement Projection'!C16,"0.0%")&amp;" to "&amp;TEXT('The 3-Statement Projection'!K16,"0.0%")&amp;" through FY33E. 8-year explicit forecast (FY26E–FY33E) with "&amp;TEXT(-SUM('Debt Schedule'!E7:L7),"#,##0")&amp;" Cr cumulative TL amortization. FY26E includes ₹180 Cr share buyback."))</f>
        <v>📊 BASE CASE: Mid-cycle assumptions — USD/INR at ₹85, coal at $170/MT. EBITDA margins improve from 10.7% to 16.8% through FY33E. 8-year explicit forecast (FY26E–FY33E) with 159 Cr cumulative TL amortization. FY26E includes ₹180 Cr share buyback.</v>
      </c>
      <c r="C105" s="48"/>
      <c r="D105" s="48"/>
      <c r="E105" s="48"/>
      <c r="F105" s="48"/>
      <c r="G105" s="48"/>
      <c r="H105" s="48"/>
      <c r="I105" s="48"/>
      <c r="J105" s="48"/>
      <c r="K105" s="48"/>
      <c r="L105" s="48"/>
    </row>
    <row r="106" spans="1:12" ht="14.25" customHeight="1" x14ac:dyDescent="0.3">
      <c r="A106" s="36"/>
      <c r="B106" s="207" t="s">
        <v>1256</v>
      </c>
      <c r="C106" s="207"/>
      <c r="D106" s="207"/>
      <c r="E106" s="207"/>
      <c r="F106" s="207"/>
      <c r="G106" s="207"/>
      <c r="H106" s="207"/>
      <c r="I106" s="48"/>
      <c r="J106" s="48"/>
      <c r="K106" s="48"/>
      <c r="L106" s="48"/>
    </row>
    <row r="107" spans="1:12" ht="14.25" customHeight="1" x14ac:dyDescent="0.3">
      <c r="A107" s="36"/>
      <c r="B107" s="896" t="s">
        <v>192</v>
      </c>
      <c r="C107" s="896"/>
      <c r="D107" s="896"/>
      <c r="E107" s="896"/>
      <c r="F107" s="896"/>
      <c r="G107" s="896"/>
      <c r="H107" s="896"/>
      <c r="I107" s="48"/>
      <c r="J107" s="48"/>
      <c r="K107" s="48"/>
      <c r="L107" s="48"/>
    </row>
    <row r="108" spans="1:12" ht="14.25" customHeight="1" x14ac:dyDescent="0.3">
      <c r="A108" s="36"/>
      <c r="B108" s="57" t="s">
        <v>1257</v>
      </c>
      <c r="C108" s="48"/>
      <c r="D108" s="48"/>
      <c r="E108" s="48"/>
      <c r="F108" s="48"/>
      <c r="G108" s="48"/>
      <c r="H108" s="48"/>
      <c r="I108" s="48"/>
      <c r="J108" s="48"/>
      <c r="K108" s="48"/>
      <c r="L108" s="48"/>
    </row>
    <row r="109" spans="1:12" ht="14.25" customHeight="1" x14ac:dyDescent="0.3">
      <c r="A109" s="36"/>
      <c r="B109" s="188" t="s">
        <v>143</v>
      </c>
      <c r="C109" s="188" t="s">
        <v>193</v>
      </c>
      <c r="D109" s="52" t="s">
        <v>145</v>
      </c>
      <c r="E109" s="52" t="s">
        <v>146</v>
      </c>
      <c r="F109" s="52" t="s">
        <v>147</v>
      </c>
      <c r="G109" s="52" t="s">
        <v>148</v>
      </c>
      <c r="H109" s="52" t="s">
        <v>149</v>
      </c>
      <c r="I109" s="53" t="s">
        <v>1143</v>
      </c>
      <c r="J109" s="53" t="s">
        <v>1144</v>
      </c>
      <c r="K109" s="53" t="s">
        <v>1145</v>
      </c>
      <c r="L109" s="53" t="s">
        <v>1146</v>
      </c>
    </row>
    <row r="110" spans="1:12" ht="14.25" customHeight="1" x14ac:dyDescent="0.3">
      <c r="A110" s="36"/>
      <c r="B110" s="48" t="s">
        <v>194</v>
      </c>
      <c r="C110" s="60" t="s">
        <v>195</v>
      </c>
      <c r="D110" s="236">
        <f>('The 3-Statement Projection'!C15-'Tax Working'!D23)/('The 3-Statement Projection'!C21+MAX(0,-'Debt Schedule'!D7))</f>
        <v>2.3936446100759161</v>
      </c>
      <c r="E110" s="236">
        <f ca="1">('The 3-Statement Projection'!D15-'Tax Working'!E23)/('The 3-Statement Projection'!D21+MAX(0,-'Debt Schedule'!E7))</f>
        <v>5.1501107586364459</v>
      </c>
      <c r="F110" s="236">
        <f ca="1">('The 3-Statement Projection'!E15-'Tax Working'!F23)/('The 3-Statement Projection'!E21+MAX(0,-'Debt Schedule'!F7))</f>
        <v>3.6368754062363884</v>
      </c>
      <c r="G110" s="236">
        <f ca="1">('The 3-Statement Projection'!F15-'Tax Working'!G23)/('The 3-Statement Projection'!F21+MAX(0,-'Debt Schedule'!G7))</f>
        <v>3.6458450189008693</v>
      </c>
      <c r="H110" s="236">
        <f ca="1">('The 3-Statement Projection'!G15-'Tax Working'!H23)/('The 3-Statement Projection'!G21+MAX(0,-'Debt Schedule'!H7))</f>
        <v>3.8571717516211987</v>
      </c>
      <c r="I110" s="54">
        <f ca="1">('The 3-Statement Projection'!H15-'Tax Working'!I23)/('The 3-Statement Projection'!H21+MAX(0,-'Debt Schedule'!I7))</f>
        <v>4.0685497469680314</v>
      </c>
      <c r="J110" s="54">
        <f ca="1">('The 3-Statement Projection'!I15-'Tax Working'!J23)/('The 3-Statement Projection'!I21+MAX(0,-'Debt Schedule'!J7))</f>
        <v>4.288969245957075</v>
      </c>
      <c r="K110" s="54">
        <f ca="1">('The 3-Statement Projection'!J15-'Tax Working'!K23)/('The 3-Statement Projection'!J21+MAX(0,-'Debt Schedule'!K7))</f>
        <v>4.5387608245419511</v>
      </c>
      <c r="L110" s="54">
        <f ca="1">('The 3-Statement Projection'!K15-'Tax Working'!L23)/('The 3-Statement Projection'!K21+MAX(0,-'Debt Schedule'!L7))</f>
        <v>4.8236634082756273</v>
      </c>
    </row>
    <row r="111" spans="1:12" ht="14.25" customHeight="1" x14ac:dyDescent="0.3">
      <c r="A111" s="36"/>
      <c r="B111" s="48" t="s">
        <v>196</v>
      </c>
      <c r="C111" s="60" t="s">
        <v>197</v>
      </c>
      <c r="D111" s="236">
        <f>'The 3-Statement Projection'!C15/'The 3-Statement Projection'!C21</f>
        <v>5.9814980602805168</v>
      </c>
      <c r="E111" s="236">
        <f ca="1">'The 3-Statement Projection'!D15/'The 3-Statement Projection'!D21</f>
        <v>6.3980672523082109</v>
      </c>
      <c r="F111" s="236">
        <f ca="1">'The 3-Statement Projection'!E15/'The 3-Statement Projection'!E21</f>
        <v>7.7762229652139006</v>
      </c>
      <c r="G111" s="236">
        <f ca="1">'The 3-Statement Projection'!F15/'The 3-Statement Projection'!F21</f>
        <v>10.318866078929879</v>
      </c>
      <c r="H111" s="236">
        <f ca="1">'The 3-Statement Projection'!G15/'The 3-Statement Projection'!G21</f>
        <v>11.856427282444855</v>
      </c>
      <c r="I111" s="54">
        <f ca="1">'The 3-Statement Projection'!H15/'The 3-Statement Projection'!H21</f>
        <v>13.636863064492701</v>
      </c>
      <c r="J111" s="54">
        <f ca="1">'The 3-Statement Projection'!I15/'The 3-Statement Projection'!I21</f>
        <v>16.037093199703282</v>
      </c>
      <c r="K111" s="54">
        <f ca="1">'The 3-Statement Projection'!J15/'The 3-Statement Projection'!J21</f>
        <v>19.46273810786775</v>
      </c>
      <c r="L111" s="54">
        <f ca="1">'The 3-Statement Projection'!K15/'The 3-Statement Projection'!K21</f>
        <v>24.749397352459592</v>
      </c>
    </row>
    <row r="112" spans="1:12" ht="14.25" customHeight="1" x14ac:dyDescent="0.3">
      <c r="A112" s="36"/>
      <c r="B112" s="48" t="s">
        <v>198</v>
      </c>
      <c r="C112" s="60" t="s">
        <v>199</v>
      </c>
      <c r="D112" s="236">
        <f>'The 3-Statement Projection'!C57/'The 3-Statement Projection'!C39</f>
        <v>1.8026418204294674</v>
      </c>
      <c r="E112" s="236">
        <f>'The 3-Statement Projection'!D57/'The 3-Statement Projection'!D39</f>
        <v>2.1869106733712034</v>
      </c>
      <c r="F112" s="236">
        <f>'The 3-Statement Projection'!E57/'The 3-Statement Projection'!E39</f>
        <v>2.3173522987166164</v>
      </c>
      <c r="G112" s="236">
        <f>'The 3-Statement Projection'!F57/'The 3-Statement Projection'!F39</f>
        <v>2.5458537843082452</v>
      </c>
      <c r="H112" s="236">
        <f>'The 3-Statement Projection'!G57/'The 3-Statement Projection'!G39</f>
        <v>2.8411764022924362</v>
      </c>
      <c r="I112" s="54">
        <f>'The 3-Statement Projection'!H57/'The 3-Statement Projection'!H39</f>
        <v>3.2325339182034321</v>
      </c>
      <c r="J112" s="54">
        <f>'The 3-Statement Projection'!I57/'The 3-Statement Projection'!I39</f>
        <v>3.7832561866071708</v>
      </c>
      <c r="K112" s="54">
        <f>'The 3-Statement Projection'!J57/'The 3-Statement Projection'!J39</f>
        <v>4.6186857666790901</v>
      </c>
      <c r="L112" s="54">
        <f>'The 3-Statement Projection'!K57/'The 3-Statement Projection'!K39</f>
        <v>6.0425147103565262</v>
      </c>
    </row>
    <row r="113" spans="1:12" ht="14.25" customHeight="1" x14ac:dyDescent="0.3">
      <c r="A113" s="36"/>
      <c r="B113" s="48" t="s">
        <v>200</v>
      </c>
      <c r="C113" s="60" t="s">
        <v>201</v>
      </c>
      <c r="D113" s="236">
        <f>('The 3-Statement Projection'!C39+'The 3-Statement Projection'!C45+'The 3-Statement Projection'!C46)/'The 3-Statement Projection'!C15</f>
        <v>2.7231091598483319</v>
      </c>
      <c r="E113" s="236">
        <f ca="1">('The 3-Statement Projection'!D39+'The 3-Statement Projection'!D45+'The 3-Statement Projection'!D46)/'The 3-Statement Projection'!D15</f>
        <v>1.6145025767379062</v>
      </c>
      <c r="F113" s="236">
        <f ca="1">('The 3-Statement Projection'!E39+'The 3-Statement Projection'!E45+'The 3-Statement Projection'!E46)/'The 3-Statement Projection'!E15</f>
        <v>1.1634718484847812</v>
      </c>
      <c r="G113" s="236">
        <f ca="1">('The 3-Statement Projection'!F39+'The 3-Statement Projection'!F45+'The 3-Statement Projection'!F46)/'The 3-Statement Projection'!F15</f>
        <v>0.96483404168730669</v>
      </c>
      <c r="H113" s="236">
        <f ca="1">('The 3-Statement Projection'!G39+'The 3-Statement Projection'!G45+'The 3-Statement Projection'!G46)/'The 3-Statement Projection'!G15</f>
        <v>0.83059288599331749</v>
      </c>
      <c r="I113" s="54">
        <f ca="1">('The 3-Statement Projection'!H39+'The 3-Statement Projection'!H45+'The 3-Statement Projection'!H46)/'The 3-Statement Projection'!H15</f>
        <v>0.70864613274796906</v>
      </c>
      <c r="J113" s="54">
        <f ca="1">('The 3-Statement Projection'!I39+'The 3-Statement Projection'!I45+'The 3-Statement Projection'!I46)/'The 3-Statement Projection'!I15</f>
        <v>0.58669937950262063</v>
      </c>
      <c r="K113" s="54">
        <f ca="1">('The 3-Statement Projection'!J39+'The 3-Statement Projection'!J45+'The 3-Statement Projection'!J46)/'The 3-Statement Projection'!J15</f>
        <v>0.46475262625727221</v>
      </c>
      <c r="L113" s="54">
        <f ca="1">('The 3-Statement Projection'!K39+'The 3-Statement Projection'!K45+'The 3-Statement Projection'!K46)/'The 3-Statement Projection'!K15</f>
        <v>0.34280587301192383</v>
      </c>
    </row>
    <row r="114" spans="1:12" ht="14.25" customHeight="1" x14ac:dyDescent="0.3">
      <c r="A114" s="36"/>
      <c r="B114" s="48" t="s">
        <v>202</v>
      </c>
      <c r="C114" s="60" t="s">
        <v>203</v>
      </c>
      <c r="D114" s="236">
        <f>('The 3-Statement Projection'!C39+'The 3-Statement Projection'!C45+'The 3-Statement Projection'!C46-'The 3-Statement Projection'!C67)/'The 3-Statement Projection'!C15</f>
        <v>1.6745160646577517</v>
      </c>
      <c r="E114" s="236">
        <f ca="1">('The 3-Statement Projection'!D39+'The 3-Statement Projection'!D45+'The 3-Statement Projection'!D46-'The 3-Statement Projection'!D67)/'The 3-Statement Projection'!D15</f>
        <v>1.5299121607733852</v>
      </c>
      <c r="F114" s="236">
        <f ca="1">('The 3-Statement Projection'!E39+'The 3-Statement Projection'!E45+'The 3-Statement Projection'!E46-'The 3-Statement Projection'!E67)/'The 3-Statement Projection'!E15</f>
        <v>1.1079519290278357</v>
      </c>
      <c r="G114" s="236">
        <f ca="1">('The 3-Statement Projection'!F39+'The 3-Statement Projection'!F45+'The 3-Statement Projection'!F46-'The 3-Statement Projection'!F67)/'The 3-Statement Projection'!F15</f>
        <v>0.14683590586963133</v>
      </c>
      <c r="H114" s="236">
        <f ca="1">('The 3-Statement Projection'!G39+'The 3-Statement Projection'!G45+'The 3-Statement Projection'!G46-'The 3-Statement Projection'!G67)/'The 3-Statement Projection'!G15</f>
        <v>-0.38151133378044172</v>
      </c>
      <c r="I114" s="54">
        <f ca="1">('The 3-Statement Projection'!H39+'The 3-Statement Projection'!H45+'The 3-Statement Projection'!H46-'The 3-Statement Projection'!H67)/'The 3-Statement Projection'!H15</f>
        <v>-0.89514782650354507</v>
      </c>
      <c r="J114" s="54">
        <f ca="1">('The 3-Statement Projection'!I39+'The 3-Statement Projection'!I45+'The 3-Statement Projection'!I46-'The 3-Statement Projection'!I67)/'The 3-Statement Projection'!I15</f>
        <v>-1.404191493297176</v>
      </c>
      <c r="K114" s="54">
        <f ca="1">('The 3-Statement Projection'!J39+'The 3-Statement Projection'!J45+'The 3-Statement Projection'!J46-'The 3-Statement Projection'!J67)/'The 3-Statement Projection'!J15</f>
        <v>-1.8574925070408548</v>
      </c>
      <c r="L114" s="54">
        <f ca="1">('The 3-Statement Projection'!K39+'The 3-Statement Projection'!K45+'The 3-Statement Projection'!K46-'The 3-Statement Projection'!K67)/'The 3-Statement Projection'!K15</f>
        <v>-2.3148095607854979</v>
      </c>
    </row>
    <row r="115" spans="1:12" ht="14.25" customHeight="1" x14ac:dyDescent="0.3">
      <c r="A115" s="36"/>
      <c r="B115" s="48" t="s">
        <v>204</v>
      </c>
      <c r="C115" s="60" t="s">
        <v>205</v>
      </c>
      <c r="D115" s="236">
        <f>('The 3-Statement Projection'!C39+'The 3-Statement Projection'!C45+'The 3-Statement Projection'!C46-'The 3-Statement Projection'!C67)/'The 3-Statement Projection'!C36</f>
        <v>0.42081243731193568</v>
      </c>
      <c r="E115" s="236">
        <f ca="1">('The 3-Statement Projection'!D39+'The 3-Statement Projection'!D45+'The 3-Statement Projection'!D46-'The 3-Statement Projection'!D67)/'The 3-Statement Projection'!D36</f>
        <v>0.75965832971045599</v>
      </c>
      <c r="F115" s="236">
        <f ca="1">('The 3-Statement Projection'!E39+'The 3-Statement Projection'!E45+'The 3-Statement Projection'!E46-'The 3-Statement Projection'!E67)/'The 3-Statement Projection'!E36</f>
        <v>0.44659099484634363</v>
      </c>
      <c r="G115" s="236">
        <f ca="1">('The 3-Statement Projection'!F39+'The 3-Statement Projection'!F45+'The 3-Statement Projection'!F46-'The 3-Statement Projection'!F67)/'The 3-Statement Projection'!F36</f>
        <v>5.1979578489713574E-2</v>
      </c>
      <c r="H115" s="236">
        <f ca="1">('The 3-Statement Projection'!G39+'The 3-Statement Projection'!G45+'The 3-Statement Projection'!G46-'The 3-Statement Projection'!G67)/'The 3-Statement Projection'!G36</f>
        <v>-0.12031097598614962</v>
      </c>
      <c r="I115" s="54">
        <f ca="1">('The 3-Statement Projection'!H39+'The 3-Statement Projection'!H45+'The 3-Statement Projection'!H46-'The 3-Statement Projection'!H67)/'The 3-Statement Projection'!H36</f>
        <v>-0.25181937493328249</v>
      </c>
      <c r="J115" s="54">
        <f ca="1">('The 3-Statement Projection'!I39+'The 3-Statement Projection'!I45+'The 3-Statement Projection'!I46-'The 3-Statement Projection'!I67)/'The 3-Statement Projection'!I36</f>
        <v>-0.35619216326270103</v>
      </c>
      <c r="K115" s="54">
        <f ca="1">('The 3-Statement Projection'!J39+'The 3-Statement Projection'!J45+'The 3-Statement Projection'!J46-'The 3-Statement Projection'!J67)/'The 3-Statement Projection'!J36</f>
        <v>-0.42863359877394802</v>
      </c>
      <c r="L115" s="54">
        <f ca="1">('The 3-Statement Projection'!K39+'The 3-Statement Projection'!K45+'The 3-Statement Projection'!K46-'The 3-Statement Projection'!K67)/'The 3-Statement Projection'!K36</f>
        <v>-0.48953962931466766</v>
      </c>
    </row>
    <row r="116" spans="1:12" ht="14.25" customHeight="1" x14ac:dyDescent="0.3">
      <c r="A116" s="36"/>
      <c r="B116" s="48" t="s">
        <v>206</v>
      </c>
      <c r="C116" s="60" t="s">
        <v>207</v>
      </c>
      <c r="D116" s="236">
        <f>'The 3-Statement Projection'!C70/'The 3-Statement Projection'!C49</f>
        <v>1.2964587737843551</v>
      </c>
      <c r="E116" s="236">
        <f ca="1">'The 3-Statement Projection'!D70/'The 3-Statement Projection'!D49</f>
        <v>1.1298560278794822</v>
      </c>
      <c r="F116" s="236">
        <f ca="1">'The 3-Statement Projection'!E70/'The 3-Statement Projection'!E49</f>
        <v>1.6688763906789157</v>
      </c>
      <c r="G116" s="236">
        <f ca="1">'The 3-Statement Projection'!F70/'The 3-Statement Projection'!F49</f>
        <v>2.76213922417644</v>
      </c>
      <c r="H116" s="236">
        <f ca="1">'The 3-Statement Projection'!G70/'The 3-Statement Projection'!G49</f>
        <v>3.2788446251736949</v>
      </c>
      <c r="I116" s="54">
        <f ca="1">'The 3-Statement Projection'!H70/'The 3-Statement Projection'!H49</f>
        <v>3.7980057842183506</v>
      </c>
      <c r="J116" s="54">
        <f ca="1">'The 3-Statement Projection'!I70/'The 3-Statement Projection'!I49</f>
        <v>4.3110794291095482</v>
      </c>
      <c r="K116" s="54">
        <f ca="1">'The 3-Statement Projection'!J70/'The 3-Statement Projection'!J49</f>
        <v>4.7502695446434986</v>
      </c>
      <c r="L116" s="54">
        <f ca="1">'The 3-Statement Projection'!K70/'The 3-Statement Projection'!K49</f>
        <v>5.194782679321249</v>
      </c>
    </row>
    <row r="117" spans="1:12" ht="14.25" customHeight="1" x14ac:dyDescent="0.3">
      <c r="A117" s="36"/>
      <c r="B117" s="48" t="s">
        <v>208</v>
      </c>
      <c r="C117" s="60" t="s">
        <v>209</v>
      </c>
      <c r="D117" s="237">
        <f>'The 3-Statement Projection'!C27/(('The 3-Statement Projection'!C36+'The 3-Statement Projection'!B36)/2)</f>
        <v>0.13987294264110886</v>
      </c>
      <c r="E117" s="237">
        <f ca="1">'The 3-Statement Projection'!D27/(('The 3-Statement Projection'!D36+'The 3-Statement Projection'!C36)/2)</f>
        <v>0.28905848319250166</v>
      </c>
      <c r="F117" s="237">
        <f ca="1">'The 3-Statement Projection'!E27/(('The 3-Statement Projection'!E36+'The 3-Statement Projection'!D36)/2)</f>
        <v>0.24091351645640235</v>
      </c>
      <c r="G117" s="237">
        <f ca="1">'The 3-Statement Projection'!F27/(('The 3-Statement Projection'!F36+'The 3-Statement Projection'!E36)/2)</f>
        <v>0.21868756827229985</v>
      </c>
      <c r="H117" s="237">
        <f ca="1">'The 3-Statement Projection'!G27/(('The 3-Statement Projection'!G36+'The 3-Statement Projection'!F36)/2)</f>
        <v>0.19618583921060462</v>
      </c>
      <c r="I117" s="55">
        <f ca="1">'The 3-Statement Projection'!H27/(('The 3-Statement Projection'!H36+'The 3-Statement Projection'!G36)/2)</f>
        <v>0.17557125527314321</v>
      </c>
      <c r="J117" s="55">
        <f ca="1">'The 3-Statement Projection'!I27/(('The 3-Statement Projection'!I36+'The 3-Statement Projection'!H36)/2)</f>
        <v>0.1589704591753536</v>
      </c>
      <c r="K117" s="55">
        <f ca="1">'The 3-Statement Projection'!J27/(('The 3-Statement Projection'!J36+'The 3-Statement Projection'!I36)/2)</f>
        <v>0.14531608209574795</v>
      </c>
      <c r="L117" s="55">
        <f ca="1">'The 3-Statement Projection'!K27/(('The 3-Statement Projection'!K36+'The 3-Statement Projection'!J36)/2)</f>
        <v>0.13388394693909569</v>
      </c>
    </row>
    <row r="118" spans="1:12" ht="14.25" customHeight="1" x14ac:dyDescent="0.3">
      <c r="A118" s="36"/>
      <c r="B118" s="48" t="s">
        <v>210</v>
      </c>
      <c r="C118" s="60" t="s">
        <v>209</v>
      </c>
      <c r="D118" s="237">
        <f>'The 3-Statement Projection'!C27/(('The 3-Statement Projection'!C72+'The 3-Statement Projection'!B72)/2)</f>
        <v>6.107065491083212E-2</v>
      </c>
      <c r="E118" s="237">
        <f ca="1">'The 3-Statement Projection'!D27/(('The 3-Statement Projection'!D72+'The 3-Statement Projection'!C72)/2)</f>
        <v>0.12551174933717416</v>
      </c>
      <c r="F118" s="237">
        <f ca="1">'The 3-Statement Projection'!E27/(('The 3-Statement Projection'!E72+'The 3-Statement Projection'!D72)/2)</f>
        <v>0.11781779253610147</v>
      </c>
      <c r="G118" s="237">
        <f ca="1">'The 3-Statement Projection'!F27/(('The 3-Statement Projection'!F72+'The 3-Statement Projection'!E72)/2)</f>
        <v>0.12341012872963227</v>
      </c>
      <c r="H118" s="237">
        <f ca="1">'The 3-Statement Projection'!G27/(('The 3-Statement Projection'!G72+'The 3-Statement Projection'!F72)/2)</f>
        <v>0.12092511420368919</v>
      </c>
      <c r="I118" s="55">
        <f ca="1">'The 3-Statement Projection'!H27/(('The 3-Statement Projection'!H72+'The 3-Statement Projection'!G72)/2)</f>
        <v>0.1160068861410077</v>
      </c>
      <c r="J118" s="55">
        <f ca="1">'The 3-Statement Projection'!I27/(('The 3-Statement Projection'!I72+'The 3-Statement Projection'!H72)/2)</f>
        <v>0.1114826962569558</v>
      </c>
      <c r="K118" s="55">
        <f ca="1">'The 3-Statement Projection'!J27/(('The 3-Statement Projection'!J72+'The 3-Statement Projection'!I72)/2)</f>
        <v>0.10732605847356083</v>
      </c>
      <c r="L118" s="55">
        <f ca="1">'The 3-Statement Projection'!K27/(('The 3-Statement Projection'!K72+'The 3-Statement Projection'!J72)/2)</f>
        <v>0.10348907303805543</v>
      </c>
    </row>
    <row r="119" spans="1:12" ht="14.25" customHeight="1" x14ac:dyDescent="0.3">
      <c r="A119" s="36"/>
      <c r="B119" s="48" t="s">
        <v>211</v>
      </c>
      <c r="C119" s="60" t="s">
        <v>209</v>
      </c>
      <c r="D119" s="238">
        <f>'Assumptions &amp; Drivers'!D55</f>
        <v>40</v>
      </c>
      <c r="E119" s="238">
        <f>'Assumptions &amp; Drivers'!E55</f>
        <v>37</v>
      </c>
      <c r="F119" s="238">
        <f>'Assumptions &amp; Drivers'!F55</f>
        <v>34</v>
      </c>
      <c r="G119" s="238">
        <f>'Assumptions &amp; Drivers'!G55</f>
        <v>32</v>
      </c>
      <c r="H119" s="238">
        <f>'Assumptions &amp; Drivers'!H55</f>
        <v>31</v>
      </c>
      <c r="I119" s="56">
        <f>'Assumptions &amp; Drivers'!I55</f>
        <v>31</v>
      </c>
      <c r="J119" s="56">
        <f>'Assumptions &amp; Drivers'!J55</f>
        <v>31</v>
      </c>
      <c r="K119" s="56">
        <f>'Assumptions &amp; Drivers'!K55</f>
        <v>31</v>
      </c>
      <c r="L119" s="56">
        <f>'Assumptions &amp; Drivers'!L55</f>
        <v>31</v>
      </c>
    </row>
    <row r="121" spans="1:12" x14ac:dyDescent="0.3">
      <c r="B121" s="819" t="s">
        <v>1317</v>
      </c>
      <c r="C121" s="820"/>
      <c r="D121" s="820"/>
      <c r="E121" s="820"/>
      <c r="F121" s="820"/>
      <c r="G121" s="820"/>
    </row>
    <row r="122" spans="1:12" x14ac:dyDescent="0.3">
      <c r="B122" s="822" t="s">
        <v>2</v>
      </c>
      <c r="C122" s="823" t="s">
        <v>1318</v>
      </c>
      <c r="D122" s="824" t="s">
        <v>1319</v>
      </c>
      <c r="E122" s="824" t="s">
        <v>1320</v>
      </c>
      <c r="F122" s="825" t="s">
        <v>1321</v>
      </c>
      <c r="G122" s="821"/>
    </row>
    <row r="123" spans="1:12" x14ac:dyDescent="0.3">
      <c r="B123" s="826">
        <v>1</v>
      </c>
      <c r="C123" s="827" t="s">
        <v>1322</v>
      </c>
      <c r="D123" s="827" t="s">
        <v>1323</v>
      </c>
      <c r="E123" s="827" t="s">
        <v>1324</v>
      </c>
      <c r="F123" s="828" t="s">
        <v>1325</v>
      </c>
    </row>
    <row r="124" spans="1:12" x14ac:dyDescent="0.3">
      <c r="B124" s="826">
        <v>2</v>
      </c>
      <c r="C124" s="827" t="s">
        <v>1326</v>
      </c>
      <c r="D124" s="827" t="s">
        <v>1327</v>
      </c>
      <c r="E124" s="827" t="s">
        <v>1328</v>
      </c>
      <c r="F124" s="828" t="s">
        <v>1329</v>
      </c>
    </row>
    <row r="125" spans="1:12" x14ac:dyDescent="0.3">
      <c r="B125" s="826">
        <v>3</v>
      </c>
      <c r="C125" s="827" t="s">
        <v>1330</v>
      </c>
      <c r="D125" s="827" t="s">
        <v>1331</v>
      </c>
      <c r="E125" s="827" t="s">
        <v>1332</v>
      </c>
      <c r="F125" s="828" t="s">
        <v>1333</v>
      </c>
    </row>
    <row r="126" spans="1:12" x14ac:dyDescent="0.3">
      <c r="B126" s="826">
        <v>4</v>
      </c>
      <c r="C126" s="827" t="s">
        <v>1334</v>
      </c>
      <c r="D126" s="827" t="s">
        <v>1335</v>
      </c>
      <c r="E126" s="827" t="s">
        <v>1336</v>
      </c>
      <c r="F126" s="828" t="s">
        <v>1337</v>
      </c>
    </row>
    <row r="127" spans="1:12" x14ac:dyDescent="0.3">
      <c r="B127" s="826">
        <v>5</v>
      </c>
      <c r="C127" s="827" t="s">
        <v>1338</v>
      </c>
      <c r="D127" s="827" t="s">
        <v>1210</v>
      </c>
      <c r="E127" s="827" t="s">
        <v>1210</v>
      </c>
      <c r="F127" s="828" t="s">
        <v>1339</v>
      </c>
    </row>
    <row r="128" spans="1:12" x14ac:dyDescent="0.3">
      <c r="B128" s="829">
        <v>6</v>
      </c>
      <c r="C128" s="830" t="s">
        <v>1340</v>
      </c>
      <c r="D128" s="830" t="s">
        <v>1341</v>
      </c>
      <c r="E128" s="830" t="s">
        <v>1342</v>
      </c>
      <c r="F128" s="831" t="s">
        <v>1343</v>
      </c>
    </row>
    <row r="130" spans="2:9" ht="17.399999999999999" x14ac:dyDescent="0.35">
      <c r="B130" s="858" t="s">
        <v>1368</v>
      </c>
    </row>
    <row r="131" spans="2:9" x14ac:dyDescent="0.3">
      <c r="B131" s="859" t="s">
        <v>1372</v>
      </c>
    </row>
    <row r="132" spans="2:9" ht="15" thickBot="1" x14ac:dyDescent="0.35"/>
    <row r="133" spans="2:9" x14ac:dyDescent="0.3">
      <c r="B133" s="864" t="s">
        <v>1369</v>
      </c>
      <c r="C133" s="862">
        <f>'WACC &amp; DCF Valuation'!B84</f>
        <v>0.02</v>
      </c>
      <c r="D133" s="862">
        <f>'WACC &amp; DCF Valuation'!C84</f>
        <v>2.5000000000000001E-2</v>
      </c>
      <c r="E133" s="862">
        <f>'WACC &amp; DCF Valuation'!D84</f>
        <v>0.03</v>
      </c>
      <c r="F133" s="862">
        <f>'WACC &amp; DCF Valuation'!E84</f>
        <v>3.5000000000000003E-2</v>
      </c>
      <c r="G133" s="862">
        <f>'WACC &amp; DCF Valuation'!F84</f>
        <v>0.04</v>
      </c>
      <c r="H133" s="862">
        <f>'WACC &amp; DCF Valuation'!G84</f>
        <v>4.4999999999999998E-2</v>
      </c>
      <c r="I133" s="868">
        <f>'WACC &amp; DCF Valuation'!H84</f>
        <v>0.05</v>
      </c>
    </row>
    <row r="134" spans="2:9" x14ac:dyDescent="0.3">
      <c r="B134" s="865">
        <f>'WACC &amp; DCF Valuation'!A85</f>
        <v>0.10514351001725651</v>
      </c>
      <c r="C134" s="860">
        <f>'WACC &amp; DCF Valuation'!B85</f>
        <v>770.19617797042849</v>
      </c>
      <c r="D134" s="860">
        <f>'WACC &amp; DCF Valuation'!C85</f>
        <v>802.39328010996144</v>
      </c>
      <c r="E134" s="860">
        <f>'WACC &amp; DCF Valuation'!D85</f>
        <v>838.87513047753691</v>
      </c>
      <c r="F134" s="860">
        <f>'WACC &amp; DCF Valuation'!E85</f>
        <v>880.55801089886916</v>
      </c>
      <c r="G134" s="860">
        <f>'WACC &amp; DCF Valuation'!F85</f>
        <v>928.63951497592598</v>
      </c>
      <c r="H134" s="860">
        <f>'WACC &amp; DCF Valuation'!G85</f>
        <v>984.71548164142496</v>
      </c>
      <c r="I134" s="869">
        <f>'WACC &amp; DCF Valuation'!H85</f>
        <v>1050.9605446607745</v>
      </c>
    </row>
    <row r="135" spans="2:9" x14ac:dyDescent="0.3">
      <c r="B135" s="865">
        <f>'WACC &amp; DCF Valuation'!A86</f>
        <v>0.11514351001725652</v>
      </c>
      <c r="C135" s="860">
        <f>'WACC &amp; DCF Valuation'!B86</f>
        <v>674.46621394209762</v>
      </c>
      <c r="D135" s="860">
        <f>'WACC &amp; DCF Valuation'!C86</f>
        <v>698.5175095089063</v>
      </c>
      <c r="E135" s="860">
        <f>'WACC &amp; DCF Valuation'!D86</f>
        <v>725.39360000863871</v>
      </c>
      <c r="F135" s="860">
        <f>'WACC &amp; DCF Valuation'!E86</f>
        <v>755.6231860682667</v>
      </c>
      <c r="G135" s="860">
        <f>'WACC &amp; DCF Valuation'!F86</f>
        <v>789.87568589019895</v>
      </c>
      <c r="H135" s="860">
        <f>'WACC &amp; DCF Valuation'!G86</f>
        <v>829.01138870746274</v>
      </c>
      <c r="I135" s="869">
        <f>'WACC &amp; DCF Valuation'!H86</f>
        <v>874.15470499334367</v>
      </c>
    </row>
    <row r="136" spans="2:9" x14ac:dyDescent="0.3">
      <c r="B136" s="866">
        <f>'WACC &amp; DCF Valuation'!A87</f>
        <v>0.12514351001725652</v>
      </c>
      <c r="C136" s="860">
        <f>'WACC &amp; DCF Valuation'!B87</f>
        <v>596.85592458152269</v>
      </c>
      <c r="D136" s="860">
        <f>'WACC &amp; DCF Valuation'!C87</f>
        <v>615.25969136762978</v>
      </c>
      <c r="E136" s="861">
        <f>'WACC &amp; DCF Valuation'!D87</f>
        <v>635.59777472275709</v>
      </c>
      <c r="F136" s="860">
        <f>'WACC &amp; DCF Valuation'!E87</f>
        <v>658.19204749753646</v>
      </c>
      <c r="G136" s="860">
        <f>'WACC &amp; DCF Valuation'!F87</f>
        <v>683.43998967943867</v>
      </c>
      <c r="H136" s="860">
        <f>'WACC &amp; DCF Valuation'!G87</f>
        <v>711.83827331462396</v>
      </c>
      <c r="I136" s="869">
        <f>'WACC &amp; DCF Valuation'!H87</f>
        <v>744.01576338143138</v>
      </c>
    </row>
    <row r="137" spans="2:9" x14ac:dyDescent="0.3">
      <c r="B137" s="865">
        <f>'WACC &amp; DCF Valuation'!A88</f>
        <v>0.13514351001725652</v>
      </c>
      <c r="C137" s="860">
        <f>'WACC &amp; DCF Valuation'!B88</f>
        <v>532.65135553838786</v>
      </c>
      <c r="D137" s="860">
        <f>'WACC &amp; DCF Valuation'!C88</f>
        <v>547.01331404600921</v>
      </c>
      <c r="E137" s="860">
        <f>'WACC &amp; DCF Valuation'!D88</f>
        <v>562.74121121263727</v>
      </c>
      <c r="F137" s="860">
        <f>'WACC &amp; DCF Valuation'!E88</f>
        <v>580.03964421967237</v>
      </c>
      <c r="G137" s="860">
        <f>'WACC &amp; DCF Valuation'!F88</f>
        <v>599.15621836990226</v>
      </c>
      <c r="H137" s="860">
        <f>'WACC &amp; DCF Valuation'!G88</f>
        <v>620.39347476853516</v>
      </c>
      <c r="I137" s="869">
        <f>'WACC &amp; DCF Valuation'!H88</f>
        <v>644.1250206784091</v>
      </c>
    </row>
    <row r="138" spans="2:9" x14ac:dyDescent="0.3">
      <c r="B138" s="865">
        <f>'WACC &amp; DCF Valuation'!A89</f>
        <v>0.14514351001725651</v>
      </c>
      <c r="C138" s="860">
        <f>'WACC &amp; DCF Valuation'!B89</f>
        <v>478.64476826009428</v>
      </c>
      <c r="D138" s="860">
        <f>'WACC &amp; DCF Valuation'!C89</f>
        <v>490.03780183595461</v>
      </c>
      <c r="E138" s="860">
        <f>'WACC &amp; DCF Valuation'!D89</f>
        <v>502.42029921868971</v>
      </c>
      <c r="F138" s="860">
        <f>'WACC &amp; DCF Valuation'!E89</f>
        <v>515.92701148987317</v>
      </c>
      <c r="G138" s="860">
        <f>'WACC &amp; DCF Valuation'!F89</f>
        <v>530.71832157113226</v>
      </c>
      <c r="H138" s="860">
        <f>'WACC &amp; DCF Valuation'!G89</f>
        <v>546.98664300127552</v>
      </c>
      <c r="I138" s="869">
        <f>'WACC &amp; DCF Valuation'!H89</f>
        <v>564.96483633200285</v>
      </c>
    </row>
    <row r="139" spans="2:9" x14ac:dyDescent="0.3">
      <c r="B139" s="865">
        <f>'WACC &amp; DCF Valuation'!A90</f>
        <v>0.15514351001725651</v>
      </c>
      <c r="C139" s="860">
        <f>'WACC &amp; DCF Valuation'!B90</f>
        <v>432.57741596252464</v>
      </c>
      <c r="D139" s="860">
        <f>'WACC &amp; DCF Valuation'!C90</f>
        <v>441.74169133369674</v>
      </c>
      <c r="E139" s="860">
        <f>'WACC &amp; DCF Valuation'!D90</f>
        <v>451.63826799399754</v>
      </c>
      <c r="F139" s="860">
        <f>'WACC &amp; DCF Valuation'!E90</f>
        <v>462.35857426390271</v>
      </c>
      <c r="G139" s="860">
        <f>'WACC &amp; DCF Valuation'!F90</f>
        <v>474.0099192235524</v>
      </c>
      <c r="H139" s="860">
        <f>'WACC &amp; DCF Valuation'!G90</f>
        <v>486.71909727366949</v>
      </c>
      <c r="I139" s="869">
        <f>'WACC &amp; DCF Valuation'!H90</f>
        <v>500.63702116535433</v>
      </c>
    </row>
    <row r="140" spans="2:9" ht="15" thickBot="1" x14ac:dyDescent="0.35">
      <c r="B140" s="867">
        <f>'WACC &amp; DCF Valuation'!A91</f>
        <v>0.16514351001725652</v>
      </c>
      <c r="C140" s="863">
        <f>'WACC &amp; DCF Valuation'!B91</f>
        <v>392.81266350150037</v>
      </c>
      <c r="D140" s="863">
        <f>'WACC &amp; DCF Valuation'!C91</f>
        <v>400.27269880282245</v>
      </c>
      <c r="E140" s="863">
        <f>'WACC &amp; DCF Valuation'!D91</f>
        <v>408.28474250620337</v>
      </c>
      <c r="F140" s="863">
        <f>'WACC &amp; DCF Valuation'!E91</f>
        <v>416.91241765385053</v>
      </c>
      <c r="G140" s="863">
        <f>'WACC &amp; DCF Valuation'!F91</f>
        <v>426.22951530103103</v>
      </c>
      <c r="H140" s="863">
        <f>'WACC &amp; DCF Valuation'!G91</f>
        <v>436.3221103217976</v>
      </c>
      <c r="I140" s="870">
        <f>'WACC &amp; DCF Valuation'!H91</f>
        <v>447.29122847610904</v>
      </c>
    </row>
    <row r="142" spans="2:9" x14ac:dyDescent="0.3">
      <c r="B142" s="859" t="s">
        <v>1371</v>
      </c>
    </row>
    <row r="143" spans="2:9" x14ac:dyDescent="0.3">
      <c r="B143" s="859" t="s">
        <v>1370</v>
      </c>
    </row>
  </sheetData>
  <mergeCells count="1">
    <mergeCell ref="B107:H107"/>
  </mergeCells>
  <pageMargins left="0.7" right="0.7" top="0.75" bottom="0.75" header="0.511811023622047" footer="0.511811023622047"/>
  <pageSetup paperSize="9"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43"/>
  <sheetViews>
    <sheetView showGridLines="0" zoomScale="84" zoomScaleNormal="84" workbookViewId="0">
      <pane ySplit="3" topLeftCell="A36" activePane="bottomLeft" state="frozen"/>
      <selection activeCell="B1" sqref="B1"/>
      <selection pane="bottomLeft" activeCell="D92" sqref="D92"/>
    </sheetView>
  </sheetViews>
  <sheetFormatPr defaultColWidth="8.6640625" defaultRowHeight="14.4" x14ac:dyDescent="0.3"/>
  <cols>
    <col min="1" max="1" width="1.88671875" customWidth="1"/>
    <col min="2" max="2" width="64.77734375" customWidth="1"/>
    <col min="3" max="3" width="12.6640625" customWidth="1"/>
    <col min="4" max="8" width="12.5546875" customWidth="1"/>
    <col min="9" max="11" width="9.44140625" customWidth="1"/>
    <col min="12" max="12" width="10.77734375" customWidth="1"/>
    <col min="13" max="13" width="55.5546875" customWidth="1"/>
  </cols>
  <sheetData>
    <row r="1" spans="1:15" ht="24" customHeight="1" x14ac:dyDescent="0.3">
      <c r="A1" s="79"/>
      <c r="B1" s="36"/>
      <c r="C1" s="36"/>
      <c r="D1" s="36"/>
      <c r="E1" s="36"/>
      <c r="F1" s="36"/>
      <c r="G1" s="36"/>
      <c r="H1" s="36"/>
      <c r="I1" s="36"/>
      <c r="J1" s="36"/>
      <c r="K1" s="36"/>
      <c r="L1" s="36"/>
      <c r="M1" s="239"/>
      <c r="N1" s="36"/>
      <c r="O1" s="36"/>
    </row>
    <row r="2" spans="1:15" ht="18" customHeight="1" x14ac:dyDescent="0.3">
      <c r="A2" s="240"/>
      <c r="B2" s="897" t="str">
        <f>"Historical Financial Statements - "&amp;'Executive Summary'!B2</f>
        <v>Historical Financial Statements - Jindal Coke Ltd.</v>
      </c>
      <c r="C2" s="897"/>
      <c r="D2" s="897"/>
      <c r="E2" s="897"/>
      <c r="F2" s="897"/>
      <c r="G2" s="897"/>
      <c r="H2" s="897"/>
      <c r="I2" s="897"/>
      <c r="J2" s="897"/>
      <c r="K2" s="897"/>
      <c r="L2" s="897"/>
      <c r="M2" s="48"/>
      <c r="N2" s="48"/>
      <c r="O2" s="48"/>
    </row>
    <row r="3" spans="1:15" ht="14.25" customHeight="1" x14ac:dyDescent="0.3">
      <c r="A3" s="36"/>
      <c r="B3" s="242" t="s">
        <v>212</v>
      </c>
      <c r="C3" s="243" t="str">
        <f>'Income and Expenditure Summary'!C4</f>
        <v>FY16A</v>
      </c>
      <c r="D3" s="243" t="str">
        <f>'Income and Expenditure Summary'!D4</f>
        <v>FY17A</v>
      </c>
      <c r="E3" s="243" t="str">
        <f>'Income and Expenditure Summary'!E4</f>
        <v>FY18A</v>
      </c>
      <c r="F3" s="243" t="str">
        <f>'Income and Expenditure Summary'!F4</f>
        <v>FY19A</v>
      </c>
      <c r="G3" s="243" t="str">
        <f>'Income and Expenditure Summary'!G4</f>
        <v>FY20A</v>
      </c>
      <c r="H3" s="243" t="str">
        <f>'Income and Expenditure Summary'!H4</f>
        <v>FY21A</v>
      </c>
      <c r="I3" s="243" t="str">
        <f>'Income and Expenditure Summary'!I4</f>
        <v>FY22A</v>
      </c>
      <c r="J3" s="243" t="str">
        <f>'Income and Expenditure Summary'!J4</f>
        <v>FY23A</v>
      </c>
      <c r="K3" s="243" t="str">
        <f>'Income and Expenditure Summary'!K4</f>
        <v>FY24A</v>
      </c>
      <c r="L3" s="243" t="str">
        <f>'Income and Expenditure Summary'!L4</f>
        <v>FY25A</v>
      </c>
      <c r="M3" s="165" t="s">
        <v>213</v>
      </c>
      <c r="N3" s="48"/>
      <c r="O3" s="48"/>
    </row>
    <row r="4" spans="1:15" ht="14.25" customHeight="1" x14ac:dyDescent="0.3">
      <c r="A4" s="162" t="s">
        <v>2</v>
      </c>
      <c r="B4" s="898" t="s">
        <v>214</v>
      </c>
      <c r="C4" s="898"/>
      <c r="D4" s="898"/>
      <c r="E4" s="898"/>
      <c r="F4" s="898"/>
      <c r="G4" s="898"/>
      <c r="H4" s="898"/>
      <c r="I4" s="898"/>
      <c r="J4" s="898"/>
      <c r="K4" s="898"/>
      <c r="L4" s="898"/>
      <c r="M4" s="48"/>
      <c r="N4" s="48"/>
      <c r="O4" s="48"/>
    </row>
    <row r="5" spans="1:15" ht="14.25" customHeight="1" x14ac:dyDescent="0.3">
      <c r="A5" s="36"/>
      <c r="B5" s="36" t="s">
        <v>215</v>
      </c>
      <c r="C5" s="245">
        <f>IFERROR(SUM('Income and Expenditure Summary'!C10:C11)-'Income and Expenditure Summary'!C28,0)</f>
        <v>358.26</v>
      </c>
      <c r="D5" s="245">
        <f>IFERROR(SUM('Income and Expenditure Summary'!D10:D11)-'Income and Expenditure Summary'!D28,0)</f>
        <v>656.45</v>
      </c>
      <c r="E5" s="245">
        <f>IFERROR(SUM('Income and Expenditure Summary'!E10:E11)-'Income and Expenditure Summary'!E28,0)</f>
        <v>888.16</v>
      </c>
      <c r="F5" s="245">
        <f>IFERROR(SUM('Income and Expenditure Summary'!F10:F11)-'Income and Expenditure Summary'!F28,0)</f>
        <v>937.12</v>
      </c>
      <c r="G5" s="245">
        <f>IFERROR(SUM('Income and Expenditure Summary'!G10:G11)-'Income and Expenditure Summary'!G28,0)</f>
        <v>761.73</v>
      </c>
      <c r="H5" s="245">
        <f>IFERROR(SUM('Income and Expenditure Summary'!H10:H11)-'Income and Expenditure Summary'!H28,0)</f>
        <v>763.42000000000007</v>
      </c>
      <c r="I5" s="245">
        <f>IFERROR(SUM('Income and Expenditure Summary'!I10:I11)-'Income and Expenditure Summary'!I28,0)</f>
        <v>1242.0600000000002</v>
      </c>
      <c r="J5" s="245">
        <f>IFERROR(SUM('Income and Expenditure Summary'!J10:J11)-'Income and Expenditure Summary'!J28,0)</f>
        <v>1993.14</v>
      </c>
      <c r="K5" s="245">
        <f>IFERROR(SUM('Income and Expenditure Summary'!K10:K11)-'Income and Expenditure Summary'!K28,0)</f>
        <v>1572.8000000000002</v>
      </c>
      <c r="L5" s="245">
        <f>IFERROR(SUM('Income and Expenditure Summary'!L10:L11)-'Income and Expenditure Summary'!L28,0)</f>
        <v>1871.3300000000002</v>
      </c>
      <c r="M5" s="246" t="s">
        <v>216</v>
      </c>
      <c r="N5" s="48"/>
      <c r="O5" s="48"/>
    </row>
    <row r="6" spans="1:15" ht="14.25" customHeight="1" x14ac:dyDescent="0.3">
      <c r="A6" s="36"/>
      <c r="B6" s="247" t="s">
        <v>217</v>
      </c>
      <c r="C6" s="248" t="s">
        <v>218</v>
      </c>
      <c r="D6" s="249">
        <f t="shared" ref="D6:L6" si="0">IFERROR(D5/C5 -1,0)</f>
        <v>0.83232847652542863</v>
      </c>
      <c r="E6" s="249">
        <f t="shared" si="0"/>
        <v>0.35297433163226422</v>
      </c>
      <c r="F6" s="249">
        <f t="shared" si="0"/>
        <v>5.5125202666186368E-2</v>
      </c>
      <c r="G6" s="249">
        <f t="shared" si="0"/>
        <v>-0.18715852825678669</v>
      </c>
      <c r="H6" s="249">
        <f t="shared" si="0"/>
        <v>2.2186338991507792E-3</v>
      </c>
      <c r="I6" s="249">
        <f t="shared" si="0"/>
        <v>0.62696811715700407</v>
      </c>
      <c r="J6" s="249">
        <f t="shared" si="0"/>
        <v>0.60470508671078682</v>
      </c>
      <c r="K6" s="249">
        <f t="shared" si="0"/>
        <v>-0.21089336423934091</v>
      </c>
      <c r="L6" s="249">
        <f t="shared" si="0"/>
        <v>0.18980798575788405</v>
      </c>
      <c r="M6" s="250" t="s">
        <v>219</v>
      </c>
      <c r="N6" s="48"/>
      <c r="O6" s="48"/>
    </row>
    <row r="7" spans="1:15" ht="14.25" customHeight="1" x14ac:dyDescent="0.3">
      <c r="A7" s="36"/>
      <c r="B7" s="36"/>
      <c r="C7" s="36"/>
      <c r="D7" s="36"/>
      <c r="E7" s="36"/>
      <c r="F7" s="36"/>
      <c r="G7" s="36"/>
      <c r="H7" s="36"/>
      <c r="I7" s="36"/>
      <c r="J7" s="36"/>
      <c r="K7" s="36"/>
      <c r="L7" s="36"/>
      <c r="M7" s="111"/>
      <c r="N7" s="48"/>
      <c r="O7" s="48"/>
    </row>
    <row r="8" spans="1:15" ht="14.25" customHeight="1" x14ac:dyDescent="0.3">
      <c r="A8" s="36"/>
      <c r="B8" s="36" t="s">
        <v>220</v>
      </c>
      <c r="C8" s="245">
        <f>IFERROR('Income and Expenditure Summary'!C22-'Income and Expenditure Summary'!C27-'Income and Expenditure Summary'!C28-SUM('Income and Expenditure Summary'!C30:C32,'Income and Expenditure Summary'!C34:C41)-'Income and Expenditure Summary'!C19,0)</f>
        <v>337.43</v>
      </c>
      <c r="D8" s="245">
        <f>IFERROR('Income and Expenditure Summary'!D22-'Income and Expenditure Summary'!D27-'Income and Expenditure Summary'!D28-SUM('Income and Expenditure Summary'!D30:D32,'Income and Expenditure Summary'!D34:D41)-'Income and Expenditure Summary'!D19,0)</f>
        <v>515.5100000000001</v>
      </c>
      <c r="E8" s="245">
        <f>IFERROR('Income and Expenditure Summary'!E22-'Income and Expenditure Summary'!E27-'Income and Expenditure Summary'!E28-SUM('Income and Expenditure Summary'!E30:E32,'Income and Expenditure Summary'!E34:E41)-'Income and Expenditure Summary'!E19,0)</f>
        <v>682.56</v>
      </c>
      <c r="F8" s="245">
        <f>IFERROR('Income and Expenditure Summary'!F22-'Income and Expenditure Summary'!F27-'Income and Expenditure Summary'!F28-SUM('Income and Expenditure Summary'!F30:F32,'Income and Expenditure Summary'!F34:F41)-'Income and Expenditure Summary'!F19,0)</f>
        <v>754.55</v>
      </c>
      <c r="G8" s="245">
        <f>IFERROR('Income and Expenditure Summary'!G22-'Income and Expenditure Summary'!G27-'Income and Expenditure Summary'!G28-SUM('Income and Expenditure Summary'!G30:G32,'Income and Expenditure Summary'!G34:G41)-'Income and Expenditure Summary'!G19,0)</f>
        <v>665.53</v>
      </c>
      <c r="H8" s="245">
        <f>IFERROR('Income and Expenditure Summary'!H22-'Income and Expenditure Summary'!H27-'Income and Expenditure Summary'!H28-SUM('Income and Expenditure Summary'!H30:H32,'Income and Expenditure Summary'!H34:H41)-'Income and Expenditure Summary'!H19,0)</f>
        <v>569.84</v>
      </c>
      <c r="I8" s="245">
        <f>IFERROR('Income and Expenditure Summary'!I22-'Income and Expenditure Summary'!I27-'Income and Expenditure Summary'!I28-SUM('Income and Expenditure Summary'!I30:I32,'Income and Expenditure Summary'!I34:I41)-'Income and Expenditure Summary'!I19,0)</f>
        <v>807</v>
      </c>
      <c r="J8" s="245">
        <f>IFERROR('Income and Expenditure Summary'!J22-'Income and Expenditure Summary'!J27-'Income and Expenditure Summary'!J28-SUM('Income and Expenditure Summary'!J30:J32,'Income and Expenditure Summary'!J34:J41)-'Income and Expenditure Summary'!J19,0)</f>
        <v>1670.7999999999997</v>
      </c>
      <c r="K8" s="245">
        <f>IFERROR('Income and Expenditure Summary'!K22-'Income and Expenditure Summary'!K27-'Income and Expenditure Summary'!K28-SUM('Income and Expenditure Summary'!K30:K32,'Income and Expenditure Summary'!K34:K41)-'Income and Expenditure Summary'!K19,0)</f>
        <v>1336.5200000000004</v>
      </c>
      <c r="L8" s="245">
        <f>IFERROR('Income and Expenditure Summary'!L22-'Income and Expenditure Summary'!L27-'Income and Expenditure Summary'!L28-SUM('Income and Expenditure Summary'!L30:L32,'Income and Expenditure Summary'!L34:L41)-'Income and Expenditure Summary'!L19,0)</f>
        <v>1575.49</v>
      </c>
      <c r="M8" s="246" t="s">
        <v>221</v>
      </c>
      <c r="N8" s="48"/>
      <c r="O8" s="48"/>
    </row>
    <row r="9" spans="1:15" ht="14.25" customHeight="1" x14ac:dyDescent="0.3">
      <c r="A9" s="36"/>
      <c r="B9" s="60" t="s">
        <v>222</v>
      </c>
      <c r="C9" s="251">
        <f t="shared" ref="C9:L9" si="1">IFERROR(C8/C5,0)</f>
        <v>0.94185786858705967</v>
      </c>
      <c r="D9" s="251">
        <f t="shared" si="1"/>
        <v>0.78529971818112587</v>
      </c>
      <c r="E9" s="251">
        <f t="shared" si="1"/>
        <v>0.76851017834624391</v>
      </c>
      <c r="F9" s="251">
        <f t="shared" si="1"/>
        <v>0.8051796995048659</v>
      </c>
      <c r="G9" s="251">
        <f t="shared" si="1"/>
        <v>0.87370853189450326</v>
      </c>
      <c r="H9" s="251">
        <f t="shared" si="1"/>
        <v>0.74643053627099099</v>
      </c>
      <c r="I9" s="251">
        <f t="shared" si="1"/>
        <v>0.6497270663252982</v>
      </c>
      <c r="J9" s="251">
        <f t="shared" si="1"/>
        <v>0.83827528422489117</v>
      </c>
      <c r="K9" s="251">
        <f t="shared" si="1"/>
        <v>0.84977110885045792</v>
      </c>
      <c r="L9" s="251">
        <f t="shared" si="1"/>
        <v>0.84190923033350606</v>
      </c>
      <c r="M9" s="250" t="s">
        <v>223</v>
      </c>
      <c r="N9" s="48"/>
      <c r="O9" s="48"/>
    </row>
    <row r="10" spans="1:15" ht="14.25" customHeight="1" x14ac:dyDescent="0.3">
      <c r="A10" s="36"/>
      <c r="B10" s="36"/>
      <c r="C10" s="36"/>
      <c r="D10" s="36"/>
      <c r="E10" s="36"/>
      <c r="F10" s="36"/>
      <c r="G10" s="36"/>
      <c r="H10" s="36"/>
      <c r="I10" s="36"/>
      <c r="J10" s="36"/>
      <c r="K10" s="36"/>
      <c r="L10" s="36"/>
      <c r="M10" s="111"/>
      <c r="N10" s="48"/>
      <c r="O10" s="48"/>
    </row>
    <row r="11" spans="1:15" ht="14.25" customHeight="1" x14ac:dyDescent="0.3">
      <c r="A11" s="36"/>
      <c r="B11" s="252" t="s">
        <v>224</v>
      </c>
      <c r="C11" s="253">
        <f t="shared" ref="C11:L11" si="2">IFERROR(C5-C8,0)</f>
        <v>20.829999999999984</v>
      </c>
      <c r="D11" s="253">
        <f t="shared" si="2"/>
        <v>140.93999999999994</v>
      </c>
      <c r="E11" s="253">
        <f t="shared" si="2"/>
        <v>205.60000000000002</v>
      </c>
      <c r="F11" s="253">
        <f t="shared" si="2"/>
        <v>182.57000000000005</v>
      </c>
      <c r="G11" s="253">
        <f t="shared" si="2"/>
        <v>96.200000000000045</v>
      </c>
      <c r="H11" s="253">
        <f t="shared" si="2"/>
        <v>193.58000000000004</v>
      </c>
      <c r="I11" s="253">
        <f t="shared" si="2"/>
        <v>435.06000000000017</v>
      </c>
      <c r="J11" s="253">
        <f t="shared" si="2"/>
        <v>322.34000000000037</v>
      </c>
      <c r="K11" s="253">
        <f t="shared" si="2"/>
        <v>236.27999999999975</v>
      </c>
      <c r="L11" s="253">
        <f t="shared" si="2"/>
        <v>295.84000000000015</v>
      </c>
      <c r="M11" s="246" t="s">
        <v>225</v>
      </c>
      <c r="N11" s="48"/>
      <c r="O11" s="48"/>
    </row>
    <row r="12" spans="1:15" ht="14.25" customHeight="1" x14ac:dyDescent="0.3">
      <c r="A12" s="36"/>
      <c r="B12" s="60" t="s">
        <v>226</v>
      </c>
      <c r="C12" s="251">
        <f t="shared" ref="C12:L12" si="3">IFERROR(C11/C5,0)</f>
        <v>5.8142131412940279E-2</v>
      </c>
      <c r="D12" s="251">
        <f t="shared" si="3"/>
        <v>0.21470028181887416</v>
      </c>
      <c r="E12" s="251">
        <f t="shared" si="3"/>
        <v>0.23148982165375612</v>
      </c>
      <c r="F12" s="251">
        <f t="shared" si="3"/>
        <v>0.19482030049513407</v>
      </c>
      <c r="G12" s="251">
        <f t="shared" si="3"/>
        <v>0.12629146810549677</v>
      </c>
      <c r="H12" s="251">
        <f t="shared" si="3"/>
        <v>0.25356946372900896</v>
      </c>
      <c r="I12" s="251">
        <f t="shared" si="3"/>
        <v>0.3502729336747018</v>
      </c>
      <c r="J12" s="251">
        <f t="shared" si="3"/>
        <v>0.1617247157751088</v>
      </c>
      <c r="K12" s="251">
        <f t="shared" si="3"/>
        <v>0.15022889114954205</v>
      </c>
      <c r="L12" s="251">
        <f t="shared" si="3"/>
        <v>0.15809076966649394</v>
      </c>
      <c r="M12" s="250" t="s">
        <v>227</v>
      </c>
      <c r="N12" s="48"/>
      <c r="O12" s="48"/>
    </row>
    <row r="13" spans="1:15" ht="14.25" customHeight="1" x14ac:dyDescent="0.3">
      <c r="A13" s="36"/>
      <c r="B13" s="36"/>
      <c r="C13" s="36"/>
      <c r="D13" s="36"/>
      <c r="E13" s="36"/>
      <c r="F13" s="36"/>
      <c r="G13" s="36"/>
      <c r="H13" s="36"/>
      <c r="I13" s="36"/>
      <c r="J13" s="36"/>
      <c r="K13" s="36"/>
      <c r="L13" s="36"/>
      <c r="M13" s="111"/>
      <c r="N13" s="48"/>
      <c r="O13" s="48"/>
    </row>
    <row r="14" spans="1:15" ht="14.25" customHeight="1" x14ac:dyDescent="0.3">
      <c r="A14" s="36"/>
      <c r="B14" s="36" t="s">
        <v>228</v>
      </c>
      <c r="C14" s="245">
        <f>IFERROR('Income and Expenditure Summary'!C27,0)</f>
        <v>7.13</v>
      </c>
      <c r="D14" s="245">
        <f>IFERROR('Income and Expenditure Summary'!D27,0)</f>
        <v>9.43</v>
      </c>
      <c r="E14" s="245">
        <f>IFERROR('Income and Expenditure Summary'!E27,0)</f>
        <v>8.19</v>
      </c>
      <c r="F14" s="245">
        <f>IFERROR('Income and Expenditure Summary'!F27,0)</f>
        <v>9.75</v>
      </c>
      <c r="G14" s="245">
        <f>IFERROR('Income and Expenditure Summary'!G27,0)</f>
        <v>10.08</v>
      </c>
      <c r="H14" s="245">
        <f>IFERROR('Income and Expenditure Summary'!H27,0)</f>
        <v>10.28</v>
      </c>
      <c r="I14" s="245">
        <f>IFERROR('Income and Expenditure Summary'!I27,0)</f>
        <v>12.84</v>
      </c>
      <c r="J14" s="245">
        <f>IFERROR('Income and Expenditure Summary'!J27,0)</f>
        <v>12.16</v>
      </c>
      <c r="K14" s="245">
        <f>IFERROR('Income and Expenditure Summary'!K27,0)</f>
        <v>14.62</v>
      </c>
      <c r="L14" s="245">
        <f>IFERROR('Income and Expenditure Summary'!L27,0)</f>
        <v>17.850000000000001</v>
      </c>
      <c r="M14" s="246" t="s">
        <v>229</v>
      </c>
      <c r="N14" s="48"/>
      <c r="O14" s="48"/>
    </row>
    <row r="15" spans="1:15" ht="14.25" customHeight="1" x14ac:dyDescent="0.3">
      <c r="A15" s="36"/>
      <c r="B15" s="247" t="s">
        <v>230</v>
      </c>
      <c r="C15" s="249">
        <f t="shared" ref="C15:L15" si="4">IFERROR(C14/C5,0)</f>
        <v>1.990174733433819E-2</v>
      </c>
      <c r="D15" s="249">
        <f t="shared" si="4"/>
        <v>1.4365145860309238E-2</v>
      </c>
      <c r="E15" s="249">
        <f t="shared" si="4"/>
        <v>9.2213114754098359E-3</v>
      </c>
      <c r="F15" s="249">
        <f t="shared" si="4"/>
        <v>1.0404217176028683E-2</v>
      </c>
      <c r="G15" s="249">
        <f t="shared" si="4"/>
        <v>1.323303532747824E-2</v>
      </c>
      <c r="H15" s="249">
        <f t="shared" si="4"/>
        <v>1.3465720049252047E-2</v>
      </c>
      <c r="I15" s="249">
        <f t="shared" si="4"/>
        <v>1.0337664847108834E-2</v>
      </c>
      <c r="J15" s="249">
        <f t="shared" si="4"/>
        <v>6.1009261767863768E-3</v>
      </c>
      <c r="K15" s="249">
        <f t="shared" si="4"/>
        <v>9.2955239064089513E-3</v>
      </c>
      <c r="L15" s="249">
        <f t="shared" si="4"/>
        <v>9.5386703574463078E-3</v>
      </c>
      <c r="M15" s="250" t="s">
        <v>231</v>
      </c>
      <c r="N15" s="48"/>
      <c r="O15" s="48"/>
    </row>
    <row r="16" spans="1:15" ht="14.25" customHeight="1" x14ac:dyDescent="0.3">
      <c r="A16" s="36"/>
      <c r="B16" s="60"/>
      <c r="C16" s="60"/>
      <c r="D16" s="60"/>
      <c r="E16" s="60"/>
      <c r="F16" s="60"/>
      <c r="G16" s="60"/>
      <c r="H16" s="60"/>
      <c r="I16" s="60"/>
      <c r="J16" s="60"/>
      <c r="K16" s="60"/>
      <c r="L16" s="60"/>
      <c r="M16" s="111"/>
      <c r="N16" s="48"/>
      <c r="O16" s="48"/>
    </row>
    <row r="17" spans="1:15" ht="14.25" customHeight="1" x14ac:dyDescent="0.3">
      <c r="A17" s="36"/>
      <c r="B17" s="36" t="s">
        <v>232</v>
      </c>
      <c r="C17" s="245">
        <f>IFERROR(SUM('Income and Expenditure Summary'!C29:C32,'Income and Expenditure Summary'!C34:C41),0)</f>
        <v>18.86</v>
      </c>
      <c r="D17" s="245">
        <f>IFERROR(SUM('Income and Expenditure Summary'!D29:D32,'Income and Expenditure Summary'!D34:D41),0)</f>
        <v>21.88</v>
      </c>
      <c r="E17" s="245">
        <f>IFERROR(SUM('Income and Expenditure Summary'!E29:E32,'Income and Expenditure Summary'!E34:E41),0)</f>
        <v>34.409999999999997</v>
      </c>
      <c r="F17" s="245">
        <f>IFERROR(SUM('Income and Expenditure Summary'!F29:F32,'Income and Expenditure Summary'!F34:F41),0)</f>
        <v>41.489999999999995</v>
      </c>
      <c r="G17" s="245">
        <f>IFERROR(SUM('Income and Expenditure Summary'!G29:G32,'Income and Expenditure Summary'!G34:G41),0)</f>
        <v>35.32</v>
      </c>
      <c r="H17" s="245">
        <f>IFERROR(SUM('Income and Expenditure Summary'!H29:H32,'Income and Expenditure Summary'!H34:H41),0)</f>
        <v>35.71</v>
      </c>
      <c r="I17" s="245">
        <f>IFERROR(SUM('Income and Expenditure Summary'!I29:I32,'Income and Expenditure Summary'!I34:I41),0)</f>
        <v>45.81</v>
      </c>
      <c r="J17" s="245">
        <f>IFERROR(SUM('Income and Expenditure Summary'!J29:J32,'Income and Expenditure Summary'!J34:J41),0)</f>
        <v>50.25</v>
      </c>
      <c r="K17" s="245">
        <f>IFERROR(SUM('Income and Expenditure Summary'!K29:K32,'Income and Expenditure Summary'!K34:K41),0)</f>
        <v>58.860000000000007</v>
      </c>
      <c r="L17" s="245">
        <f>IFERROR(SUM('Income and Expenditure Summary'!L29:L32,'Income and Expenditure Summary'!L34:L41),0)</f>
        <v>77.55</v>
      </c>
      <c r="M17" s="246" t="s">
        <v>233</v>
      </c>
      <c r="N17" s="48"/>
      <c r="O17" s="48"/>
    </row>
    <row r="18" spans="1:15" ht="14.25" customHeight="1" x14ac:dyDescent="0.3">
      <c r="A18" s="36"/>
      <c r="B18" s="247" t="s">
        <v>234</v>
      </c>
      <c r="C18" s="249">
        <f t="shared" ref="C18:L18" si="5">IFERROR(C17/C5,0)</f>
        <v>5.2643331658571983E-2</v>
      </c>
      <c r="D18" s="249">
        <f t="shared" si="5"/>
        <v>3.3330794424556325E-2</v>
      </c>
      <c r="E18" s="249">
        <f t="shared" si="5"/>
        <v>3.8743019275806159E-2</v>
      </c>
      <c r="F18" s="249">
        <f t="shared" si="5"/>
        <v>4.4273945705992822E-2</v>
      </c>
      <c r="G18" s="249">
        <f t="shared" si="5"/>
        <v>4.6368135691124149E-2</v>
      </c>
      <c r="H18" s="249">
        <f t="shared" si="5"/>
        <v>4.677634853684734E-2</v>
      </c>
      <c r="I18" s="249">
        <f t="shared" si="5"/>
        <v>3.6882276218540164E-2</v>
      </c>
      <c r="J18" s="249">
        <f t="shared" si="5"/>
        <v>2.5211475360486468E-2</v>
      </c>
      <c r="K18" s="249">
        <f t="shared" si="5"/>
        <v>3.7423702950152592E-2</v>
      </c>
      <c r="L18" s="249">
        <f t="shared" si="5"/>
        <v>4.1441114073947405E-2</v>
      </c>
      <c r="M18" s="250" t="s">
        <v>235</v>
      </c>
      <c r="N18" s="48"/>
      <c r="O18" s="48"/>
    </row>
    <row r="19" spans="1:15" ht="14.25" customHeight="1" x14ac:dyDescent="0.3">
      <c r="A19" s="36"/>
      <c r="B19" s="252"/>
      <c r="C19" s="252"/>
      <c r="D19" s="252"/>
      <c r="E19" s="252"/>
      <c r="F19" s="252"/>
      <c r="G19" s="252"/>
      <c r="H19" s="252"/>
      <c r="I19" s="252"/>
      <c r="J19" s="252"/>
      <c r="K19" s="252"/>
      <c r="L19" s="252"/>
      <c r="M19" s="111"/>
      <c r="N19" s="48"/>
      <c r="O19" s="48"/>
    </row>
    <row r="20" spans="1:15" ht="14.25" customHeight="1" x14ac:dyDescent="0.3">
      <c r="A20" s="36"/>
      <c r="B20" s="36" t="s">
        <v>236</v>
      </c>
      <c r="C20" s="245">
        <f t="shared" ref="C20:L20" si="6">IFERROR(C11-C14-C17,0)</f>
        <v>-5.1600000000000144</v>
      </c>
      <c r="D20" s="245">
        <f t="shared" si="6"/>
        <v>109.62999999999994</v>
      </c>
      <c r="E20" s="245">
        <f t="shared" si="6"/>
        <v>163.00000000000003</v>
      </c>
      <c r="F20" s="245">
        <f t="shared" si="6"/>
        <v>131.33000000000004</v>
      </c>
      <c r="G20" s="245">
        <f t="shared" si="6"/>
        <v>50.800000000000047</v>
      </c>
      <c r="H20" s="245">
        <f t="shared" si="6"/>
        <v>147.59000000000003</v>
      </c>
      <c r="I20" s="245">
        <f t="shared" si="6"/>
        <v>376.4100000000002</v>
      </c>
      <c r="J20" s="245">
        <f t="shared" si="6"/>
        <v>259.93000000000035</v>
      </c>
      <c r="K20" s="245">
        <f t="shared" si="6"/>
        <v>162.79999999999973</v>
      </c>
      <c r="L20" s="245">
        <f t="shared" si="6"/>
        <v>200.44000000000011</v>
      </c>
      <c r="M20" s="246" t="s">
        <v>237</v>
      </c>
      <c r="N20" s="48"/>
      <c r="O20" s="48"/>
    </row>
    <row r="21" spans="1:15" ht="14.25" customHeight="1" x14ac:dyDescent="0.3">
      <c r="A21" s="36"/>
      <c r="B21" s="247" t="s">
        <v>168</v>
      </c>
      <c r="C21" s="249">
        <f t="shared" ref="C21:L21" si="7">IFERROR(C20/C5,0)</f>
        <v>-1.4402947579969894E-2</v>
      </c>
      <c r="D21" s="249">
        <f t="shared" si="7"/>
        <v>0.16700434153400859</v>
      </c>
      <c r="E21" s="249">
        <f t="shared" si="7"/>
        <v>0.18352549090254011</v>
      </c>
      <c r="F21" s="249">
        <f t="shared" si="7"/>
        <v>0.14014213761311256</v>
      </c>
      <c r="G21" s="249">
        <f t="shared" si="7"/>
        <v>6.6690297086894362E-2</v>
      </c>
      <c r="H21" s="249">
        <f t="shared" si="7"/>
        <v>0.19332739514290956</v>
      </c>
      <c r="I21" s="249">
        <f t="shared" si="7"/>
        <v>0.30305299260905283</v>
      </c>
      <c r="J21" s="249">
        <f t="shared" si="7"/>
        <v>0.13041231423783595</v>
      </c>
      <c r="K21" s="249">
        <f t="shared" si="7"/>
        <v>0.10350966429298049</v>
      </c>
      <c r="L21" s="249">
        <f t="shared" si="7"/>
        <v>0.10711098523510022</v>
      </c>
      <c r="M21" s="250" t="s">
        <v>238</v>
      </c>
      <c r="N21" s="48"/>
      <c r="O21" s="48"/>
    </row>
    <row r="22" spans="1:15" ht="14.25" customHeight="1" x14ac:dyDescent="0.3">
      <c r="A22" s="36"/>
      <c r="B22" s="60"/>
      <c r="C22" s="60"/>
      <c r="D22" s="60"/>
      <c r="E22" s="60"/>
      <c r="F22" s="60"/>
      <c r="G22" s="60"/>
      <c r="H22" s="60"/>
      <c r="I22" s="60"/>
      <c r="J22" s="60"/>
      <c r="K22" s="60"/>
      <c r="L22" s="60"/>
      <c r="M22" s="111"/>
      <c r="N22" s="48"/>
      <c r="O22" s="48"/>
    </row>
    <row r="23" spans="1:15" ht="14.25" customHeight="1" x14ac:dyDescent="0.3">
      <c r="A23" s="36"/>
      <c r="B23" s="36" t="s">
        <v>239</v>
      </c>
      <c r="C23" s="245">
        <f>IFERROR('Income and Expenditure Summary'!C47,0)</f>
        <v>29.11</v>
      </c>
      <c r="D23" s="245">
        <f>IFERROR('Income and Expenditure Summary'!D47,0)</f>
        <v>29.34</v>
      </c>
      <c r="E23" s="245">
        <f>IFERROR('Income and Expenditure Summary'!E47,0)</f>
        <v>27.29</v>
      </c>
      <c r="F23" s="245">
        <f>IFERROR('Income and Expenditure Summary'!F47,0)</f>
        <v>17.23</v>
      </c>
      <c r="G23" s="245">
        <f>IFERROR('Income and Expenditure Summary'!G47,0)</f>
        <v>17.96</v>
      </c>
      <c r="H23" s="245">
        <f>IFERROR('Income and Expenditure Summary'!H47,0)</f>
        <v>19.989999999999998</v>
      </c>
      <c r="I23" s="245">
        <f>IFERROR('Income and Expenditure Summary'!I47,0)</f>
        <v>21.21</v>
      </c>
      <c r="J23" s="245">
        <f>IFERROR('Income and Expenditure Summary'!J47,0)</f>
        <v>21.45</v>
      </c>
      <c r="K23" s="245">
        <f>IFERROR('Income and Expenditure Summary'!K47,0)</f>
        <v>21.11</v>
      </c>
      <c r="L23" s="245">
        <f>IFERROR('Income and Expenditure Summary'!L47,0)</f>
        <v>30.98</v>
      </c>
      <c r="M23" s="246" t="s">
        <v>240</v>
      </c>
      <c r="N23" s="48"/>
      <c r="O23" s="48"/>
    </row>
    <row r="24" spans="1:15" ht="14.25" customHeight="1" x14ac:dyDescent="0.3">
      <c r="A24" s="36"/>
      <c r="B24" s="247" t="s">
        <v>241</v>
      </c>
      <c r="C24" s="249">
        <f t="shared" ref="C24:L24" si="8">IFERROR(C23/C5,0)</f>
        <v>8.1253837994752415E-2</v>
      </c>
      <c r="D24" s="249">
        <f t="shared" si="8"/>
        <v>4.4694950110442527E-2</v>
      </c>
      <c r="E24" s="249">
        <f t="shared" si="8"/>
        <v>3.0726445685462078E-2</v>
      </c>
      <c r="F24" s="249">
        <f t="shared" si="8"/>
        <v>1.8386119173638381E-2</v>
      </c>
      <c r="G24" s="249">
        <f t="shared" si="8"/>
        <v>2.3577908182689403E-2</v>
      </c>
      <c r="H24" s="249">
        <f t="shared" si="8"/>
        <v>2.6184799979041676E-2</v>
      </c>
      <c r="I24" s="249">
        <f t="shared" si="8"/>
        <v>1.7076469735761556E-2</v>
      </c>
      <c r="J24" s="249">
        <f t="shared" si="8"/>
        <v>1.0761913362834521E-2</v>
      </c>
      <c r="K24" s="249">
        <f t="shared" si="8"/>
        <v>1.3421922685656153E-2</v>
      </c>
      <c r="L24" s="249">
        <f t="shared" si="8"/>
        <v>1.6555070457909615E-2</v>
      </c>
      <c r="M24" s="250" t="s">
        <v>242</v>
      </c>
      <c r="N24" s="48"/>
      <c r="O24" s="48"/>
    </row>
    <row r="25" spans="1:15" ht="14.25" customHeight="1" x14ac:dyDescent="0.3">
      <c r="A25" s="36"/>
      <c r="B25" s="252"/>
      <c r="C25" s="252"/>
      <c r="D25" s="252"/>
      <c r="E25" s="252"/>
      <c r="F25" s="252"/>
      <c r="G25" s="252"/>
      <c r="H25" s="252"/>
      <c r="I25" s="252"/>
      <c r="J25" s="252"/>
      <c r="K25" s="252"/>
      <c r="L25" s="252"/>
      <c r="M25" s="111"/>
      <c r="N25" s="48"/>
      <c r="O25" s="48"/>
    </row>
    <row r="26" spans="1:15" ht="14.25" customHeight="1" x14ac:dyDescent="0.3">
      <c r="A26" s="36"/>
      <c r="B26" s="36" t="s">
        <v>243</v>
      </c>
      <c r="C26" s="245">
        <f t="shared" ref="C26:L26" si="9">IFERROR(C20-C23,0)</f>
        <v>-34.27000000000001</v>
      </c>
      <c r="D26" s="245">
        <f t="shared" si="9"/>
        <v>80.289999999999935</v>
      </c>
      <c r="E26" s="245">
        <f t="shared" si="9"/>
        <v>135.71000000000004</v>
      </c>
      <c r="F26" s="245">
        <f t="shared" si="9"/>
        <v>114.10000000000004</v>
      </c>
      <c r="G26" s="245">
        <f t="shared" si="9"/>
        <v>32.840000000000046</v>
      </c>
      <c r="H26" s="245">
        <f t="shared" si="9"/>
        <v>127.60000000000004</v>
      </c>
      <c r="I26" s="245">
        <f t="shared" si="9"/>
        <v>355.20000000000022</v>
      </c>
      <c r="J26" s="245">
        <f t="shared" si="9"/>
        <v>238.48000000000036</v>
      </c>
      <c r="K26" s="245">
        <f t="shared" si="9"/>
        <v>141.68999999999971</v>
      </c>
      <c r="L26" s="245">
        <f t="shared" si="9"/>
        <v>169.46000000000012</v>
      </c>
      <c r="M26" s="246" t="s">
        <v>244</v>
      </c>
      <c r="N26" s="48"/>
      <c r="O26" s="48"/>
    </row>
    <row r="27" spans="1:15" ht="14.25" customHeight="1" x14ac:dyDescent="0.3">
      <c r="A27" s="36"/>
      <c r="B27" s="247" t="s">
        <v>245</v>
      </c>
      <c r="C27" s="249">
        <f t="shared" ref="C27:L27" si="10">IFERROR(C26/C5,0)</f>
        <v>-9.5656785574722306E-2</v>
      </c>
      <c r="D27" s="249">
        <f t="shared" si="10"/>
        <v>0.12230939142356605</v>
      </c>
      <c r="E27" s="249">
        <f t="shared" si="10"/>
        <v>0.15279904521707804</v>
      </c>
      <c r="F27" s="249">
        <f t="shared" si="10"/>
        <v>0.12175601843947417</v>
      </c>
      <c r="G27" s="249">
        <f t="shared" si="10"/>
        <v>4.3112388904204962E-2</v>
      </c>
      <c r="H27" s="249">
        <f t="shared" si="10"/>
        <v>0.1671425951638679</v>
      </c>
      <c r="I27" s="249">
        <f t="shared" si="10"/>
        <v>0.28597652287329128</v>
      </c>
      <c r="J27" s="249">
        <f t="shared" si="10"/>
        <v>0.11965040087500142</v>
      </c>
      <c r="K27" s="249">
        <f t="shared" si="10"/>
        <v>9.0087741607324329E-2</v>
      </c>
      <c r="L27" s="249">
        <f t="shared" si="10"/>
        <v>9.0555914777190619E-2</v>
      </c>
      <c r="M27" s="254" t="s">
        <v>246</v>
      </c>
      <c r="N27" s="48"/>
      <c r="O27" s="48"/>
    </row>
    <row r="28" spans="1:15" ht="14.25" customHeight="1" x14ac:dyDescent="0.3">
      <c r="A28" s="36"/>
      <c r="B28" s="60"/>
      <c r="C28" s="60"/>
      <c r="D28" s="60"/>
      <c r="E28" s="60"/>
      <c r="F28" s="60"/>
      <c r="G28" s="60"/>
      <c r="H28" s="60"/>
      <c r="I28" s="60"/>
      <c r="J28" s="60"/>
      <c r="K28" s="60"/>
      <c r="L28" s="60"/>
      <c r="M28" s="111"/>
      <c r="N28" s="48"/>
      <c r="O28" s="48"/>
    </row>
    <row r="29" spans="1:15" ht="14.25" customHeight="1" x14ac:dyDescent="0.3">
      <c r="A29" s="36"/>
      <c r="B29" s="36" t="s">
        <v>247</v>
      </c>
      <c r="C29" s="245">
        <f>IFERROR(SUM('Income and Expenditure Summary'!C45:C46),0)</f>
        <v>9.31</v>
      </c>
      <c r="D29" s="245">
        <f>IFERROR(SUM('Income and Expenditure Summary'!D45:D46),0)</f>
        <v>53.01</v>
      </c>
      <c r="E29" s="245">
        <f>IFERROR(SUM('Income and Expenditure Summary'!E45:E46),0)</f>
        <v>59.95</v>
      </c>
      <c r="F29" s="245">
        <f>IFERROR(SUM('Income and Expenditure Summary'!F45:F46),0)</f>
        <v>55.18</v>
      </c>
      <c r="G29" s="245">
        <f>IFERROR(SUM('Income and Expenditure Summary'!G45:G46),0)</f>
        <v>51.75</v>
      </c>
      <c r="H29" s="245">
        <f>IFERROR(SUM('Income and Expenditure Summary'!H45:H46),0)</f>
        <v>50.96</v>
      </c>
      <c r="I29" s="245">
        <f>IFERROR(SUM('Income and Expenditure Summary'!I45:I46),0)</f>
        <v>34.909999999999997</v>
      </c>
      <c r="J29" s="245">
        <f>IFERROR(SUM('Income and Expenditure Summary'!J45:J46),0)</f>
        <v>33.200000000000003</v>
      </c>
      <c r="K29" s="245">
        <f>IFERROR(SUM('Income and Expenditure Summary'!K45:K46),0)</f>
        <v>39.86</v>
      </c>
      <c r="L29" s="245">
        <f>IFERROR(SUM('Income and Expenditure Summary'!L45:L46),0)</f>
        <v>33.51</v>
      </c>
      <c r="M29" s="246" t="s">
        <v>248</v>
      </c>
      <c r="N29" s="48"/>
      <c r="O29" s="48"/>
    </row>
    <row r="30" spans="1:15" ht="14.25" customHeight="1" x14ac:dyDescent="0.3">
      <c r="A30" s="36"/>
      <c r="B30" s="247" t="s">
        <v>249</v>
      </c>
      <c r="C30" s="249">
        <f t="shared" ref="C30:L30" si="11">IFERROR(C29/C5,0)</f>
        <v>2.5986713559984369E-2</v>
      </c>
      <c r="D30" s="249">
        <f t="shared" si="11"/>
        <v>8.0752532561505053E-2</v>
      </c>
      <c r="E30" s="249">
        <f t="shared" si="11"/>
        <v>6.7499099261394344E-2</v>
      </c>
      <c r="F30" s="249">
        <f t="shared" si="11"/>
        <v>5.888253372033464E-2</v>
      </c>
      <c r="G30" s="249">
        <f t="shared" si="11"/>
        <v>6.7937458154464184E-2</v>
      </c>
      <c r="H30" s="249">
        <f t="shared" si="11"/>
        <v>6.6752246469833118E-2</v>
      </c>
      <c r="I30" s="249">
        <f t="shared" si="11"/>
        <v>2.8106532695682973E-2</v>
      </c>
      <c r="J30" s="249">
        <f t="shared" si="11"/>
        <v>1.6657133969515438E-2</v>
      </c>
      <c r="K30" s="249">
        <f t="shared" si="11"/>
        <v>2.5343336724313322E-2</v>
      </c>
      <c r="L30" s="249">
        <f t="shared" si="11"/>
        <v>1.7907050065995841E-2</v>
      </c>
      <c r="M30" s="250" t="s">
        <v>250</v>
      </c>
      <c r="N30" s="48"/>
      <c r="O30" s="48"/>
    </row>
    <row r="31" spans="1:15" ht="14.25" customHeight="1" x14ac:dyDescent="0.3">
      <c r="A31" s="36"/>
      <c r="B31" s="36"/>
      <c r="C31" s="36"/>
      <c r="D31" s="36"/>
      <c r="E31" s="36"/>
      <c r="F31" s="36"/>
      <c r="G31" s="36"/>
      <c r="H31" s="36"/>
      <c r="I31" s="36"/>
      <c r="J31" s="36"/>
      <c r="K31" s="36"/>
      <c r="L31" s="36"/>
      <c r="M31" s="111"/>
      <c r="N31" s="48"/>
      <c r="O31" s="48"/>
    </row>
    <row r="32" spans="1:15" ht="14.25" customHeight="1" x14ac:dyDescent="0.3">
      <c r="A32" s="36"/>
      <c r="B32" s="36" t="s">
        <v>251</v>
      </c>
      <c r="C32" s="245">
        <f>IFERROR('Income and Expenditure Summary'!C12+'Income and Expenditure Summary'!C16,0)</f>
        <v>0</v>
      </c>
      <c r="D32" s="245">
        <f>IFERROR('Income and Expenditure Summary'!D12+'Income and Expenditure Summary'!D16,0)</f>
        <v>8.6199999999999992</v>
      </c>
      <c r="E32" s="245">
        <f>IFERROR('Income and Expenditure Summary'!E12+'Income and Expenditure Summary'!E16,0)</f>
        <v>6.08</v>
      </c>
      <c r="F32" s="245">
        <f>IFERROR('Income and Expenditure Summary'!F12+'Income and Expenditure Summary'!F16,0)</f>
        <v>5.47</v>
      </c>
      <c r="G32" s="245">
        <f>IFERROR('Income and Expenditure Summary'!G12+'Income and Expenditure Summary'!G16,0)</f>
        <v>5.01</v>
      </c>
      <c r="H32" s="245">
        <f>IFERROR('Income and Expenditure Summary'!H12+'Income and Expenditure Summary'!H16,0)</f>
        <v>3.3699999999999997</v>
      </c>
      <c r="I32" s="245">
        <f>IFERROR('Income and Expenditure Summary'!I12+'Income and Expenditure Summary'!I16,0)</f>
        <v>4.9799999999999995</v>
      </c>
      <c r="J32" s="245">
        <f>IFERROR('Income and Expenditure Summary'!J12+'Income and Expenditure Summary'!J16,0)</f>
        <v>14.3</v>
      </c>
      <c r="K32" s="245">
        <f>IFERROR('Income and Expenditure Summary'!K12+'Income and Expenditure Summary'!K16,0)</f>
        <v>40.590000000000003</v>
      </c>
      <c r="L32" s="245">
        <f>IFERROR('Income and Expenditure Summary'!L12+'Income and Expenditure Summary'!L16,0)</f>
        <v>18.7</v>
      </c>
      <c r="M32" s="246" t="s">
        <v>252</v>
      </c>
      <c r="N32" s="48"/>
      <c r="O32" s="48"/>
    </row>
    <row r="33" spans="1:15" ht="14.25" customHeight="1" x14ac:dyDescent="0.3">
      <c r="A33" s="36"/>
      <c r="B33" s="60" t="s">
        <v>253</v>
      </c>
      <c r="C33" s="251">
        <f t="shared" ref="C33:L33" si="12">IFERROR(C32/C5,0)</f>
        <v>0</v>
      </c>
      <c r="D33" s="251">
        <f t="shared" si="12"/>
        <v>1.3131236194683524E-2</v>
      </c>
      <c r="E33" s="251">
        <f t="shared" si="12"/>
        <v>6.8456134029904522E-3</v>
      </c>
      <c r="F33" s="251">
        <f t="shared" si="12"/>
        <v>5.8370326105514764E-3</v>
      </c>
      <c r="G33" s="251">
        <f t="shared" si="12"/>
        <v>6.5771336300263867E-3</v>
      </c>
      <c r="H33" s="251">
        <f t="shared" si="12"/>
        <v>4.4143459694532487E-3</v>
      </c>
      <c r="I33" s="251">
        <f t="shared" si="12"/>
        <v>4.0094681416356689E-3</v>
      </c>
      <c r="J33" s="251">
        <f t="shared" si="12"/>
        <v>7.1746089085563481E-3</v>
      </c>
      <c r="K33" s="251">
        <f t="shared" si="12"/>
        <v>2.5807477110885046E-2</v>
      </c>
      <c r="L33" s="251">
        <f t="shared" si="12"/>
        <v>9.9928927554199416E-3</v>
      </c>
      <c r="M33" s="250" t="s">
        <v>254</v>
      </c>
      <c r="N33" s="48"/>
      <c r="O33" s="48"/>
    </row>
    <row r="34" spans="1:15" ht="14.25" customHeight="1" x14ac:dyDescent="0.3">
      <c r="A34" s="36"/>
      <c r="B34" s="36"/>
      <c r="C34" s="36"/>
      <c r="D34" s="36"/>
      <c r="E34" s="36"/>
      <c r="F34" s="36"/>
      <c r="G34" s="36"/>
      <c r="H34" s="36"/>
      <c r="I34" s="36"/>
      <c r="J34" s="36"/>
      <c r="K34" s="36"/>
      <c r="L34" s="36"/>
      <c r="M34" s="111"/>
      <c r="N34" s="48"/>
      <c r="O34" s="48"/>
    </row>
    <row r="35" spans="1:15" ht="14.25" customHeight="1" x14ac:dyDescent="0.3">
      <c r="A35" s="36"/>
      <c r="B35" s="36" t="s">
        <v>255</v>
      </c>
      <c r="C35" s="245">
        <f>IFERROR('Income and Expenditure Summary'!C17-'Income and Expenditure Summary'!C53,0)</f>
        <v>-5.46</v>
      </c>
      <c r="D35" s="245">
        <f>IFERROR('Income and Expenditure Summary'!D17-'Income and Expenditure Summary'!D53,0)</f>
        <v>1.1299999999999999</v>
      </c>
      <c r="E35" s="245">
        <f>IFERROR('Income and Expenditure Summary'!E17-'Income and Expenditure Summary'!E53,0)</f>
        <v>1.56</v>
      </c>
      <c r="F35" s="245">
        <f>IFERROR('Income and Expenditure Summary'!F17-'Income and Expenditure Summary'!F53,0)</f>
        <v>0.1</v>
      </c>
      <c r="G35" s="245">
        <f>IFERROR('Income and Expenditure Summary'!G17-'Income and Expenditure Summary'!G53,0)</f>
        <v>0.20000000000000007</v>
      </c>
      <c r="H35" s="245">
        <f>IFERROR('Income and Expenditure Summary'!H17-'Income and Expenditure Summary'!H53,0)</f>
        <v>2.95</v>
      </c>
      <c r="I35" s="245">
        <f>IFERROR('Income and Expenditure Summary'!I17-'Income and Expenditure Summary'!I53,0)</f>
        <v>3.95</v>
      </c>
      <c r="J35" s="245">
        <f>IFERROR('Income and Expenditure Summary'!J17-'Income and Expenditure Summary'!J53,0)</f>
        <v>0</v>
      </c>
      <c r="K35" s="245">
        <f>IFERROR('Income and Expenditure Summary'!K17-'Income and Expenditure Summary'!K53,0)</f>
        <v>-6.93</v>
      </c>
      <c r="L35" s="245">
        <f>IFERROR('Income and Expenditure Summary'!L17-'Income and Expenditure Summary'!L53,0)</f>
        <v>0</v>
      </c>
      <c r="M35" s="246" t="s">
        <v>256</v>
      </c>
      <c r="N35" s="48"/>
      <c r="O35" s="48"/>
    </row>
    <row r="36" spans="1:15" ht="14.25" customHeight="1" x14ac:dyDescent="0.3">
      <c r="A36" s="36"/>
      <c r="B36" s="36"/>
      <c r="C36" s="36"/>
      <c r="D36" s="36"/>
      <c r="E36" s="36"/>
      <c r="F36" s="36"/>
      <c r="G36" s="36"/>
      <c r="H36" s="36"/>
      <c r="I36" s="36"/>
      <c r="J36" s="36"/>
      <c r="K36" s="36"/>
      <c r="L36" s="36"/>
      <c r="M36" s="111"/>
      <c r="N36" s="48"/>
      <c r="O36" s="48"/>
    </row>
    <row r="37" spans="1:15" ht="14.25" customHeight="1" x14ac:dyDescent="0.3">
      <c r="A37" s="36"/>
      <c r="B37" s="36" t="s">
        <v>257</v>
      </c>
      <c r="C37" s="245">
        <f t="shared" ref="C37:L37" si="13">IFERROR(SUM(C26,C32,C35)-C29,0)</f>
        <v>-49.040000000000013</v>
      </c>
      <c r="D37" s="245">
        <f t="shared" si="13"/>
        <v>37.029999999999937</v>
      </c>
      <c r="E37" s="245">
        <f t="shared" si="13"/>
        <v>83.400000000000048</v>
      </c>
      <c r="F37" s="245">
        <f t="shared" si="13"/>
        <v>64.490000000000038</v>
      </c>
      <c r="G37" s="245">
        <f t="shared" si="13"/>
        <v>-13.699999999999953</v>
      </c>
      <c r="H37" s="245">
        <f t="shared" si="13"/>
        <v>82.960000000000008</v>
      </c>
      <c r="I37" s="245">
        <f t="shared" si="13"/>
        <v>329.22000000000025</v>
      </c>
      <c r="J37" s="245">
        <f t="shared" si="13"/>
        <v>219.58000000000038</v>
      </c>
      <c r="K37" s="245">
        <f t="shared" si="13"/>
        <v>135.48999999999972</v>
      </c>
      <c r="L37" s="245">
        <f t="shared" si="13"/>
        <v>154.65000000000012</v>
      </c>
      <c r="M37" s="246" t="s">
        <v>258</v>
      </c>
      <c r="N37" s="48"/>
      <c r="O37" s="48"/>
    </row>
    <row r="38" spans="1:15" ht="14.25" customHeight="1" x14ac:dyDescent="0.3">
      <c r="A38" s="36"/>
      <c r="B38" s="247" t="s">
        <v>259</v>
      </c>
      <c r="C38" s="249">
        <f t="shared" ref="C38:L38" si="14">IFERROR(C37/C5,0)</f>
        <v>-0.13688382738793059</v>
      </c>
      <c r="D38" s="249">
        <f t="shared" si="14"/>
        <v>5.6409475207555695E-2</v>
      </c>
      <c r="E38" s="249">
        <f t="shared" si="14"/>
        <v>9.3901999639704609E-2</v>
      </c>
      <c r="F38" s="249">
        <f t="shared" si="14"/>
        <v>6.8817227249445154E-2</v>
      </c>
      <c r="G38" s="249">
        <f t="shared" si="14"/>
        <v>-1.7985375395481278E-2</v>
      </c>
      <c r="H38" s="249">
        <f t="shared" si="14"/>
        <v>0.10866888475544262</v>
      </c>
      <c r="I38" s="249">
        <f t="shared" si="14"/>
        <v>0.26505965895367389</v>
      </c>
      <c r="J38" s="249">
        <f t="shared" si="14"/>
        <v>0.11016787581404235</v>
      </c>
      <c r="K38" s="249">
        <f t="shared" si="14"/>
        <v>8.6145727365208355E-2</v>
      </c>
      <c r="L38" s="249">
        <f t="shared" si="14"/>
        <v>8.2641757466614715E-2</v>
      </c>
      <c r="M38" s="250" t="s">
        <v>260</v>
      </c>
      <c r="N38" s="48"/>
      <c r="O38" s="48"/>
    </row>
    <row r="39" spans="1:15" ht="14.25" customHeight="1" x14ac:dyDescent="0.3">
      <c r="A39" s="36"/>
      <c r="B39" s="36"/>
      <c r="C39" s="36"/>
      <c r="D39" s="36"/>
      <c r="E39" s="36"/>
      <c r="F39" s="36"/>
      <c r="G39" s="36"/>
      <c r="H39" s="36"/>
      <c r="I39" s="36"/>
      <c r="J39" s="36"/>
      <c r="K39" s="36"/>
      <c r="L39" s="36"/>
      <c r="M39" s="111"/>
      <c r="N39" s="48"/>
      <c r="O39" s="48"/>
    </row>
    <row r="40" spans="1:15" ht="14.25" customHeight="1" x14ac:dyDescent="0.3">
      <c r="A40" s="36"/>
      <c r="B40" s="60" t="s">
        <v>261</v>
      </c>
      <c r="C40" s="255">
        <f>IFERROR('Income and Expenditure Summary'!C55,0)</f>
        <v>-16.97</v>
      </c>
      <c r="D40" s="255">
        <f>IFERROR('Income and Expenditure Summary'!D55,0)</f>
        <v>12.86</v>
      </c>
      <c r="E40" s="255">
        <f>IFERROR('Income and Expenditure Summary'!E55,0)</f>
        <v>26.23</v>
      </c>
      <c r="F40" s="255">
        <f>IFERROR('Income and Expenditure Summary'!F55,0)</f>
        <v>24.38</v>
      </c>
      <c r="G40" s="255">
        <f>IFERROR('Income and Expenditure Summary'!G55,0)</f>
        <v>-1.95</v>
      </c>
      <c r="H40" s="255">
        <f>IFERROR('Income and Expenditure Summary'!H55,0)</f>
        <v>25.1</v>
      </c>
      <c r="I40" s="255">
        <f>IFERROR('Income and Expenditure Summary'!I55,0)</f>
        <v>90.41</v>
      </c>
      <c r="J40" s="255">
        <f>IFERROR('Income and Expenditure Summary'!J55,0)</f>
        <v>54.6</v>
      </c>
      <c r="K40" s="255">
        <f>IFERROR('Income and Expenditure Summary'!K55,0)</f>
        <v>35.97</v>
      </c>
      <c r="L40" s="255">
        <f>IFERROR('Income and Expenditure Summary'!L55,0)</f>
        <v>40.049999999999997</v>
      </c>
      <c r="M40" s="246" t="s">
        <v>262</v>
      </c>
      <c r="N40" s="48"/>
      <c r="O40" s="48"/>
    </row>
    <row r="41" spans="1:15" ht="14.25" customHeight="1" x14ac:dyDescent="0.3">
      <c r="A41" s="36"/>
      <c r="B41" s="36"/>
      <c r="C41" s="36"/>
      <c r="D41" s="36"/>
      <c r="E41" s="36"/>
      <c r="F41" s="36"/>
      <c r="G41" s="36"/>
      <c r="H41" s="36"/>
      <c r="I41" s="36"/>
      <c r="J41" s="36"/>
      <c r="K41" s="36"/>
      <c r="L41" s="36"/>
      <c r="M41" s="111"/>
      <c r="N41" s="48"/>
      <c r="O41" s="48"/>
    </row>
    <row r="42" spans="1:15" ht="14.25" customHeight="1" x14ac:dyDescent="0.3">
      <c r="A42" s="36"/>
      <c r="B42" s="252" t="s">
        <v>263</v>
      </c>
      <c r="C42" s="253">
        <f t="shared" ref="C42:L42" si="15">IFERROR(C37-C40,0)</f>
        <v>-32.070000000000014</v>
      </c>
      <c r="D42" s="253">
        <f t="shared" si="15"/>
        <v>24.169999999999938</v>
      </c>
      <c r="E42" s="253">
        <f t="shared" si="15"/>
        <v>57.170000000000044</v>
      </c>
      <c r="F42" s="253">
        <f t="shared" si="15"/>
        <v>40.110000000000042</v>
      </c>
      <c r="G42" s="253">
        <f t="shared" si="15"/>
        <v>-11.749999999999954</v>
      </c>
      <c r="H42" s="253">
        <f t="shared" si="15"/>
        <v>57.860000000000007</v>
      </c>
      <c r="I42" s="253">
        <f t="shared" si="15"/>
        <v>238.81000000000026</v>
      </c>
      <c r="J42" s="253">
        <f t="shared" si="15"/>
        <v>164.98000000000039</v>
      </c>
      <c r="K42" s="253">
        <f t="shared" si="15"/>
        <v>99.519999999999726</v>
      </c>
      <c r="L42" s="253">
        <f t="shared" si="15"/>
        <v>114.60000000000012</v>
      </c>
      <c r="M42" s="246" t="s">
        <v>264</v>
      </c>
      <c r="N42" s="48"/>
      <c r="O42" s="48"/>
    </row>
    <row r="43" spans="1:15" ht="14.25" customHeight="1" x14ac:dyDescent="0.3">
      <c r="A43" s="36"/>
      <c r="B43" s="247" t="s">
        <v>265</v>
      </c>
      <c r="C43" s="249">
        <f t="shared" ref="C43:L43" si="16">IFERROR(C42/C5,0)</f>
        <v>-8.9515993970859201E-2</v>
      </c>
      <c r="D43" s="249">
        <f t="shared" si="16"/>
        <v>3.6819255084164726E-2</v>
      </c>
      <c r="E43" s="249">
        <f t="shared" si="16"/>
        <v>6.4369032606737583E-2</v>
      </c>
      <c r="F43" s="249">
        <f t="shared" si="16"/>
        <v>4.2801348813385737E-2</v>
      </c>
      <c r="G43" s="249">
        <f t="shared" si="16"/>
        <v>-1.5425413204153643E-2</v>
      </c>
      <c r="H43" s="249">
        <f t="shared" si="16"/>
        <v>7.5790521600167665E-2</v>
      </c>
      <c r="I43" s="249">
        <f t="shared" si="16"/>
        <v>0.19226929455903918</v>
      </c>
      <c r="J43" s="249">
        <f t="shared" si="16"/>
        <v>8.2773914526827211E-2</v>
      </c>
      <c r="K43" s="249">
        <f t="shared" si="16"/>
        <v>6.3275686673448447E-2</v>
      </c>
      <c r="L43" s="249">
        <f t="shared" si="16"/>
        <v>6.123986683268056E-2</v>
      </c>
      <c r="M43" s="250" t="s">
        <v>266</v>
      </c>
      <c r="N43" s="48"/>
      <c r="O43" s="48"/>
    </row>
    <row r="44" spans="1:15" ht="14.25" customHeight="1" x14ac:dyDescent="0.3">
      <c r="A44" s="36"/>
      <c r="B44" s="60"/>
      <c r="C44" s="60"/>
      <c r="D44" s="60"/>
      <c r="E44" s="60"/>
      <c r="F44" s="60"/>
      <c r="G44" s="60"/>
      <c r="H44" s="60"/>
      <c r="I44" s="60"/>
      <c r="J44" s="60"/>
      <c r="K44" s="60"/>
      <c r="L44" s="60"/>
      <c r="M44" s="111"/>
      <c r="N44" s="48"/>
      <c r="O44" s="48"/>
    </row>
    <row r="45" spans="1:15" ht="14.25" customHeight="1" x14ac:dyDescent="0.3">
      <c r="A45" s="36"/>
      <c r="B45" s="256" t="s">
        <v>267</v>
      </c>
      <c r="C45" s="257" t="str">
        <f>IF(ROUND(C42-'Income and Expenditure Summary'!C57,2)=0,"✓ Match","✗ Diff: "&amp;TEXT(ROUND(C42-'Income and Expenditure Summary'!C57,2),"0.00"))</f>
        <v>✓ Match</v>
      </c>
      <c r="D45" s="257" t="str">
        <f>IF(ROUND(D42-'Income and Expenditure Summary'!D57,2)=0,"✓ Match","✗ Diff: "&amp;TEXT(ROUND(D42-'Income and Expenditure Summary'!D57,2),"0.00"))</f>
        <v>✓ Match</v>
      </c>
      <c r="E45" s="257" t="str">
        <f>IF(ROUND(E42-'Income and Expenditure Summary'!E57,2)=0,"✓ Match","✗ Diff: "&amp;TEXT(ROUND(E42-'Income and Expenditure Summary'!E57,2),"0.00"))</f>
        <v>✓ Match</v>
      </c>
      <c r="F45" s="257" t="str">
        <f>IF(ROUND(F42-'Income and Expenditure Summary'!F57,2)=0,"✓ Match","✗ Diff: "&amp;TEXT(ROUND(F42-'Income and Expenditure Summary'!F57,2),"0.00"))</f>
        <v>✓ Match</v>
      </c>
      <c r="G45" s="257" t="str">
        <f>IF(ROUND(G42-'Income and Expenditure Summary'!G57,2)=0,"✓ Match","✗ Diff: "&amp;TEXT(ROUND(G42-'Income and Expenditure Summary'!G57,2),"0.00"))</f>
        <v>✓ Match</v>
      </c>
      <c r="H45" s="257" t="str">
        <f>IF(ROUND(H42-'Income and Expenditure Summary'!H57,2)=0,"✓ Match","✗ Diff: "&amp;TEXT(ROUND(H42-'Income and Expenditure Summary'!H57,2),"0.00"))</f>
        <v>✓ Match</v>
      </c>
      <c r="I45" s="257" t="str">
        <f>IF(ROUND(I42-'Income and Expenditure Summary'!I57,2)=0,"✓ Match","✗ Diff: "&amp;TEXT(ROUND(I42-'Income and Expenditure Summary'!I57,2),"0.00"))</f>
        <v>✓ Match</v>
      </c>
      <c r="J45" s="257" t="str">
        <f>IF(ROUND(J42-'Income and Expenditure Summary'!J57,2)=0,"✓ Match","✗ Diff: "&amp;TEXT(ROUND(J42-'Income and Expenditure Summary'!J57,2),"0.00"))</f>
        <v>✓ Match</v>
      </c>
      <c r="K45" s="257" t="str">
        <f>IF(ROUND(K42-'Income and Expenditure Summary'!K57,2)=0,"✓ Match","✗ Diff: "&amp;TEXT(ROUND(K42-'Income and Expenditure Summary'!K57,2),"0.00"))</f>
        <v>✓ Match</v>
      </c>
      <c r="L45" s="257" t="str">
        <f>IF(ROUND(L42-'Income and Expenditure Summary'!L57,2)&lt;=0.01,"✓ Match","✗ Diff: "&amp;TEXT(ROUND(L42-'Income and Expenditure Summary'!L57,2),"0.00"))</f>
        <v>✓ Match</v>
      </c>
      <c r="M45" s="111"/>
      <c r="N45" s="48"/>
      <c r="O45" s="48"/>
    </row>
    <row r="46" spans="1:15" ht="14.25" customHeight="1" x14ac:dyDescent="0.3">
      <c r="A46" s="36"/>
      <c r="B46" s="36"/>
      <c r="C46" s="36"/>
      <c r="D46" s="36"/>
      <c r="E46" s="36"/>
      <c r="F46" s="36"/>
      <c r="G46" s="36"/>
      <c r="H46" s="36"/>
      <c r="I46" s="36"/>
      <c r="J46" s="36"/>
      <c r="K46" s="36"/>
      <c r="L46" s="36"/>
      <c r="M46" s="111"/>
      <c r="N46" s="48"/>
      <c r="O46" s="48"/>
    </row>
    <row r="47" spans="1:15" ht="14.25" customHeight="1" x14ac:dyDescent="0.3">
      <c r="A47" s="258" t="s">
        <v>2</v>
      </c>
      <c r="B47" s="898" t="s">
        <v>268</v>
      </c>
      <c r="C47" s="898"/>
      <c r="D47" s="898"/>
      <c r="E47" s="898"/>
      <c r="F47" s="898"/>
      <c r="G47" s="898"/>
      <c r="H47" s="898"/>
      <c r="I47" s="898"/>
      <c r="J47" s="898"/>
      <c r="K47" s="898"/>
      <c r="L47" s="898"/>
      <c r="M47" s="111"/>
      <c r="N47" s="48"/>
      <c r="O47" s="48"/>
    </row>
    <row r="48" spans="1:15" ht="14.25" customHeight="1" x14ac:dyDescent="0.3">
      <c r="A48" s="259"/>
      <c r="B48" s="260"/>
      <c r="C48" s="260"/>
      <c r="D48" s="260"/>
      <c r="E48" s="260"/>
      <c r="F48" s="260"/>
      <c r="G48" s="260"/>
      <c r="H48" s="260"/>
      <c r="I48" s="260"/>
      <c r="J48" s="260"/>
      <c r="K48" s="260"/>
      <c r="L48" s="260"/>
      <c r="M48" s="261"/>
      <c r="N48" s="48"/>
      <c r="O48" s="48"/>
    </row>
    <row r="49" spans="1:15" ht="14.25" customHeight="1" x14ac:dyDescent="0.3">
      <c r="A49" s="259"/>
      <c r="B49" s="262" t="s">
        <v>269</v>
      </c>
      <c r="C49" s="36"/>
      <c r="D49" s="36"/>
      <c r="E49" s="36"/>
      <c r="F49" s="36"/>
      <c r="G49" s="36"/>
      <c r="H49" s="36"/>
      <c r="I49" s="36"/>
      <c r="J49" s="36"/>
      <c r="K49" s="36"/>
      <c r="L49" s="36"/>
      <c r="M49" s="263"/>
      <c r="N49" s="48"/>
      <c r="O49" s="48"/>
    </row>
    <row r="50" spans="1:15" ht="14.25" customHeight="1" x14ac:dyDescent="0.3">
      <c r="A50" s="259"/>
      <c r="B50" s="262"/>
      <c r="C50" s="36"/>
      <c r="D50" s="36"/>
      <c r="E50" s="36"/>
      <c r="F50" s="36"/>
      <c r="G50" s="36"/>
      <c r="H50" s="36"/>
      <c r="I50" s="36"/>
      <c r="J50" s="36"/>
      <c r="K50" s="36"/>
      <c r="L50" s="36"/>
      <c r="M50" s="263"/>
      <c r="N50" s="48"/>
      <c r="O50" s="48"/>
    </row>
    <row r="51" spans="1:15" ht="14.25" customHeight="1" x14ac:dyDescent="0.3">
      <c r="A51" s="259"/>
      <c r="B51" s="262" t="s">
        <v>270</v>
      </c>
      <c r="C51" s="36"/>
      <c r="D51" s="36"/>
      <c r="E51" s="36"/>
      <c r="F51" s="36"/>
      <c r="G51" s="36"/>
      <c r="H51" s="36"/>
      <c r="I51" s="36"/>
      <c r="J51" s="36"/>
      <c r="K51" s="36"/>
      <c r="L51" s="36"/>
      <c r="M51" s="263"/>
      <c r="N51" s="48"/>
      <c r="O51" s="48"/>
    </row>
    <row r="52" spans="1:15" ht="14.25" customHeight="1" x14ac:dyDescent="0.3">
      <c r="A52" s="259"/>
      <c r="B52" s="262"/>
      <c r="C52" s="36"/>
      <c r="D52" s="36"/>
      <c r="E52" s="36"/>
      <c r="F52" s="36"/>
      <c r="G52" s="36"/>
      <c r="H52" s="36"/>
      <c r="I52" s="36"/>
      <c r="J52" s="36"/>
      <c r="K52" s="36"/>
      <c r="L52" s="36"/>
      <c r="M52" s="263"/>
      <c r="N52" s="48"/>
      <c r="O52" s="48"/>
    </row>
    <row r="53" spans="1:15" ht="14.25" customHeight="1" x14ac:dyDescent="0.3">
      <c r="A53" s="259"/>
      <c r="B53" s="259" t="s">
        <v>271</v>
      </c>
      <c r="C53" s="245">
        <f>IFERROR('Balance Sheet Summary'!C10,0)</f>
        <v>91.7</v>
      </c>
      <c r="D53" s="245">
        <f>IFERROR('Balance Sheet Summary'!D10,0)</f>
        <v>141.69999999999999</v>
      </c>
      <c r="E53" s="245">
        <f>IFERROR('Balance Sheet Summary'!E10,0)</f>
        <v>141.69999999999999</v>
      </c>
      <c r="F53" s="245">
        <f>IFERROR('Balance Sheet Summary'!F10,0)</f>
        <v>141.69999999999999</v>
      </c>
      <c r="G53" s="245">
        <f>IFERROR('Balance Sheet Summary'!G10,0)</f>
        <v>141.69999999999999</v>
      </c>
      <c r="H53" s="245">
        <f>IFERROR('Balance Sheet Summary'!H10,0)</f>
        <v>141.69</v>
      </c>
      <c r="I53" s="245">
        <f>IFERROR('Balance Sheet Summary'!I10,0)</f>
        <v>141.69</v>
      </c>
      <c r="J53" s="245">
        <f>IFERROR('Balance Sheet Summary'!J10,0)</f>
        <v>141.69</v>
      </c>
      <c r="K53" s="245">
        <f>IFERROR('Balance Sheet Summary'!K10,0)</f>
        <v>141.69</v>
      </c>
      <c r="L53" s="245">
        <f>IFERROR('Balance Sheet Summary'!L10,0)</f>
        <v>134.85</v>
      </c>
      <c r="M53" s="264"/>
      <c r="N53" s="48"/>
      <c r="O53" s="48"/>
    </row>
    <row r="54" spans="1:15" ht="14.25" customHeight="1" x14ac:dyDescent="0.3">
      <c r="A54" s="259"/>
      <c r="B54" s="259" t="s">
        <v>272</v>
      </c>
      <c r="C54" s="245">
        <f>IFERROR('Balance Sheet Summary'!C16,0)</f>
        <v>-6.11</v>
      </c>
      <c r="D54" s="245">
        <f>IFERROR('Balance Sheet Summary'!D16,0)</f>
        <v>-9.1199999999999992</v>
      </c>
      <c r="E54" s="245">
        <f>IFERROR('Balance Sheet Summary'!E16,0)</f>
        <v>110.03</v>
      </c>
      <c r="F54" s="245">
        <f>IFERROR('Balance Sheet Summary'!F16,0)</f>
        <v>150.16</v>
      </c>
      <c r="G54" s="245">
        <f>IFERROR('Balance Sheet Summary'!G16,0)</f>
        <v>138.35</v>
      </c>
      <c r="H54" s="245">
        <f>IFERROR('Balance Sheet Summary'!H16,0)</f>
        <v>196.19</v>
      </c>
      <c r="I54" s="245">
        <f>IFERROR('Balance Sheet Summary'!I16,0)</f>
        <v>434.96</v>
      </c>
      <c r="J54" s="245">
        <f>IFERROR('Balance Sheet Summary'!J16,0)</f>
        <v>599.87</v>
      </c>
      <c r="K54" s="245">
        <f>IFERROR('Balance Sheet Summary'!K16,0)</f>
        <v>699.34</v>
      </c>
      <c r="L54" s="245">
        <f>IFERROR('Balance Sheet Summary'!L16,0)</f>
        <v>662.75</v>
      </c>
      <c r="M54" s="264"/>
      <c r="N54" s="48"/>
      <c r="O54" s="48"/>
    </row>
    <row r="55" spans="1:15" ht="14.25" customHeight="1" x14ac:dyDescent="0.3">
      <c r="A55" s="259"/>
      <c r="B55" s="259"/>
      <c r="C55" s="245"/>
      <c r="D55" s="245"/>
      <c r="E55" s="245"/>
      <c r="F55" s="245"/>
      <c r="G55" s="245"/>
      <c r="H55" s="245"/>
      <c r="I55" s="245"/>
      <c r="J55" s="245"/>
      <c r="K55" s="245"/>
      <c r="L55" s="245"/>
      <c r="M55" s="263"/>
      <c r="N55" s="48"/>
      <c r="O55" s="48"/>
    </row>
    <row r="56" spans="1:15" ht="14.25" customHeight="1" x14ac:dyDescent="0.3">
      <c r="A56" s="259"/>
      <c r="B56" s="258" t="s">
        <v>273</v>
      </c>
      <c r="C56" s="265">
        <f t="shared" ref="C56:L56" si="17">IFERROR(C53+C54,0)</f>
        <v>85.59</v>
      </c>
      <c r="D56" s="265">
        <f t="shared" si="17"/>
        <v>132.57999999999998</v>
      </c>
      <c r="E56" s="265">
        <f t="shared" si="17"/>
        <v>251.73</v>
      </c>
      <c r="F56" s="265">
        <f t="shared" si="17"/>
        <v>291.86</v>
      </c>
      <c r="G56" s="265">
        <f t="shared" si="17"/>
        <v>280.04999999999995</v>
      </c>
      <c r="H56" s="265">
        <f t="shared" si="17"/>
        <v>337.88</v>
      </c>
      <c r="I56" s="265">
        <f t="shared" si="17"/>
        <v>576.65</v>
      </c>
      <c r="J56" s="265">
        <f t="shared" si="17"/>
        <v>741.56</v>
      </c>
      <c r="K56" s="265">
        <f t="shared" si="17"/>
        <v>841.03</v>
      </c>
      <c r="L56" s="265">
        <f t="shared" si="17"/>
        <v>797.6</v>
      </c>
      <c r="M56" s="246" t="s">
        <v>274</v>
      </c>
      <c r="N56" s="48"/>
      <c r="O56" s="48"/>
    </row>
    <row r="57" spans="1:15" ht="14.25" customHeight="1" x14ac:dyDescent="0.3">
      <c r="A57" s="259"/>
      <c r="B57" s="258"/>
      <c r="C57" s="245"/>
      <c r="D57" s="245"/>
      <c r="E57" s="245"/>
      <c r="F57" s="245"/>
      <c r="G57" s="245"/>
      <c r="H57" s="245"/>
      <c r="I57" s="245"/>
      <c r="J57" s="245"/>
      <c r="K57" s="245"/>
      <c r="L57" s="245"/>
      <c r="M57" s="263"/>
      <c r="N57" s="48"/>
      <c r="O57" s="48"/>
    </row>
    <row r="58" spans="1:15" ht="14.25" customHeight="1" x14ac:dyDescent="0.3">
      <c r="A58" s="259"/>
      <c r="B58" s="262" t="s">
        <v>275</v>
      </c>
      <c r="C58" s="245"/>
      <c r="D58" s="245"/>
      <c r="E58" s="245"/>
      <c r="F58" s="245"/>
      <c r="G58" s="245"/>
      <c r="H58" s="245"/>
      <c r="I58" s="245"/>
      <c r="J58" s="245"/>
      <c r="K58" s="245"/>
      <c r="L58" s="245"/>
      <c r="M58" s="263"/>
      <c r="N58" s="161"/>
      <c r="O58" s="48"/>
    </row>
    <row r="59" spans="1:15" ht="14.25" customHeight="1" x14ac:dyDescent="0.3">
      <c r="A59" s="259"/>
      <c r="B59" s="262"/>
      <c r="C59" s="245"/>
      <c r="D59" s="245"/>
      <c r="E59" s="245"/>
      <c r="F59" s="245"/>
      <c r="G59" s="245"/>
      <c r="H59" s="245"/>
      <c r="I59" s="245"/>
      <c r="J59" s="245"/>
      <c r="K59" s="245"/>
      <c r="L59" s="245"/>
      <c r="M59" s="263"/>
      <c r="N59" s="48"/>
      <c r="O59" s="48"/>
    </row>
    <row r="60" spans="1:15" ht="14.25" customHeight="1" x14ac:dyDescent="0.3">
      <c r="A60" s="259"/>
      <c r="B60" s="259" t="s">
        <v>276</v>
      </c>
      <c r="C60" s="245">
        <f>IFERROR('Balance Sheet Summary'!C26,0)</f>
        <v>0</v>
      </c>
      <c r="D60" s="245">
        <f>IFERROR('Balance Sheet Summary'!D26,0)</f>
        <v>488.17</v>
      </c>
      <c r="E60" s="245">
        <f>IFERROR('Balance Sheet Summary'!E26,0)</f>
        <v>495.52</v>
      </c>
      <c r="F60" s="245">
        <f>IFERROR('Balance Sheet Summary'!F26,0)</f>
        <v>408.05</v>
      </c>
      <c r="G60" s="245">
        <f>IFERROR('Balance Sheet Summary'!G26,0)</f>
        <v>391.51</v>
      </c>
      <c r="H60" s="245">
        <f>IFERROR('Balance Sheet Summary'!H26,0)</f>
        <v>387.8</v>
      </c>
      <c r="I60" s="245">
        <f>IFERROR('Balance Sheet Summary'!I26,0)</f>
        <v>502.23</v>
      </c>
      <c r="J60" s="245">
        <f>IFERROR('Balance Sheet Summary'!J26,0)</f>
        <v>324.02999999999997</v>
      </c>
      <c r="K60" s="245">
        <f>IFERROR('Balance Sheet Summary'!K26,0)</f>
        <v>305.25</v>
      </c>
      <c r="L60" s="245">
        <f>IFERROR('Balance Sheet Summary'!L26,0)</f>
        <v>279.58</v>
      </c>
      <c r="M60" s="264"/>
      <c r="N60" s="48"/>
      <c r="O60" s="48"/>
    </row>
    <row r="61" spans="1:15" ht="14.25" customHeight="1" x14ac:dyDescent="0.3">
      <c r="A61" s="259"/>
      <c r="B61" s="259" t="s">
        <v>277</v>
      </c>
      <c r="C61" s="245">
        <f>IFERROR('Balance Sheet Summary'!C35,0)</f>
        <v>0</v>
      </c>
      <c r="D61" s="245">
        <f>IFERROR('Balance Sheet Summary'!D35,0)</f>
        <v>0</v>
      </c>
      <c r="E61" s="245">
        <f>IFERROR('Balance Sheet Summary'!E35,0)</f>
        <v>33.78</v>
      </c>
      <c r="F61" s="245">
        <f>IFERROR('Balance Sheet Summary'!F35,0)</f>
        <v>44.17</v>
      </c>
      <c r="G61" s="245">
        <f>IFERROR('Balance Sheet Summary'!G35,0)</f>
        <v>42.19</v>
      </c>
      <c r="H61" s="245">
        <f>IFERROR('Balance Sheet Summary'!H35,0)</f>
        <v>53.07</v>
      </c>
      <c r="I61" s="245">
        <f>IFERROR('Balance Sheet Summary'!I35,0)</f>
        <v>64.12</v>
      </c>
      <c r="J61" s="245">
        <f>IFERROR('Balance Sheet Summary'!J35,0)</f>
        <v>66.09</v>
      </c>
      <c r="K61" s="245">
        <f>IFERROR('Balance Sheet Summary'!K35,0)</f>
        <v>66.16</v>
      </c>
      <c r="L61" s="245">
        <f>IFERROR('Balance Sheet Summary'!L35,0)</f>
        <v>72.900000000000006</v>
      </c>
      <c r="M61" s="264"/>
      <c r="N61" s="48"/>
      <c r="O61" s="48"/>
    </row>
    <row r="62" spans="1:15" ht="14.25" customHeight="1" x14ac:dyDescent="0.3">
      <c r="A62" s="259"/>
      <c r="B62" s="259" t="s">
        <v>278</v>
      </c>
      <c r="C62" s="245">
        <f>IFERROR('Balance Sheet Summary'!C37,0)</f>
        <v>0.35</v>
      </c>
      <c r="D62" s="245">
        <f>IFERROR('Balance Sheet Summary'!D37,0)</f>
        <v>0.69</v>
      </c>
      <c r="E62" s="245">
        <f>IFERROR('Balance Sheet Summary'!E37,0)</f>
        <v>0.97</v>
      </c>
      <c r="F62" s="245">
        <f>IFERROR('Balance Sheet Summary'!F37,0)</f>
        <v>1.05</v>
      </c>
      <c r="G62" s="245">
        <f>IFERROR('Balance Sheet Summary'!G37,0)</f>
        <v>1.35</v>
      </c>
      <c r="H62" s="245">
        <f>IFERROR('Balance Sheet Summary'!H37,0)</f>
        <v>1.44</v>
      </c>
      <c r="I62" s="245">
        <f>IFERROR('Balance Sheet Summary'!I37,0)</f>
        <v>1.72</v>
      </c>
      <c r="J62" s="245">
        <f>IFERROR('Balance Sheet Summary'!J37,0)</f>
        <v>1.82</v>
      </c>
      <c r="K62" s="245">
        <f>IFERROR('Balance Sheet Summary'!K37,0)</f>
        <v>2.27</v>
      </c>
      <c r="L62" s="245">
        <f>IFERROR('Balance Sheet Summary'!L37,0)</f>
        <v>2.5499999999999998</v>
      </c>
      <c r="M62" s="264"/>
      <c r="N62" s="48"/>
      <c r="O62" s="48"/>
    </row>
    <row r="63" spans="1:15" ht="14.25" customHeight="1" x14ac:dyDescent="0.3">
      <c r="A63" s="259"/>
      <c r="B63" s="266" t="s">
        <v>279</v>
      </c>
      <c r="C63" s="267">
        <f t="shared" ref="C63:L63" si="18">IFERROR(C60+C61+C62,0)</f>
        <v>0.35</v>
      </c>
      <c r="D63" s="267">
        <f t="shared" si="18"/>
        <v>488.86</v>
      </c>
      <c r="E63" s="267">
        <f t="shared" si="18"/>
        <v>530.27</v>
      </c>
      <c r="F63" s="267">
        <f t="shared" si="18"/>
        <v>453.27000000000004</v>
      </c>
      <c r="G63" s="267">
        <f t="shared" si="18"/>
        <v>435.05</v>
      </c>
      <c r="H63" s="267">
        <f t="shared" si="18"/>
        <v>442.31</v>
      </c>
      <c r="I63" s="267">
        <f t="shared" si="18"/>
        <v>568.07000000000005</v>
      </c>
      <c r="J63" s="267">
        <f t="shared" si="18"/>
        <v>391.94</v>
      </c>
      <c r="K63" s="267">
        <f t="shared" si="18"/>
        <v>373.67999999999995</v>
      </c>
      <c r="L63" s="267">
        <f t="shared" si="18"/>
        <v>355.03000000000003</v>
      </c>
      <c r="M63" s="246" t="s">
        <v>280</v>
      </c>
      <c r="N63" s="48"/>
      <c r="O63" s="48"/>
    </row>
    <row r="64" spans="1:15" ht="14.25" customHeight="1" x14ac:dyDescent="0.3">
      <c r="A64" s="259"/>
      <c r="B64" s="258"/>
      <c r="C64" s="245"/>
      <c r="D64" s="245"/>
      <c r="E64" s="245"/>
      <c r="F64" s="245"/>
      <c r="G64" s="245"/>
      <c r="H64" s="245"/>
      <c r="I64" s="245"/>
      <c r="J64" s="245"/>
      <c r="K64" s="245"/>
      <c r="L64" s="245"/>
      <c r="M64" s="263"/>
      <c r="N64" s="48"/>
      <c r="O64" s="48"/>
    </row>
    <row r="65" spans="1:15" ht="14.25" customHeight="1" x14ac:dyDescent="0.3">
      <c r="A65" s="259"/>
      <c r="B65" s="262" t="s">
        <v>281</v>
      </c>
      <c r="C65" s="245"/>
      <c r="D65" s="245"/>
      <c r="E65" s="245"/>
      <c r="F65" s="245"/>
      <c r="G65" s="245"/>
      <c r="H65" s="245"/>
      <c r="I65" s="245"/>
      <c r="J65" s="245"/>
      <c r="K65" s="245"/>
      <c r="L65" s="245"/>
      <c r="M65" s="263"/>
      <c r="N65" s="48"/>
      <c r="O65" s="48"/>
    </row>
    <row r="66" spans="1:15" ht="14.25" customHeight="1" x14ac:dyDescent="0.3">
      <c r="A66" s="259"/>
      <c r="B66" s="262"/>
      <c r="C66" s="245"/>
      <c r="D66" s="245"/>
      <c r="E66" s="245"/>
      <c r="F66" s="245"/>
      <c r="G66" s="245"/>
      <c r="H66" s="245"/>
      <c r="I66" s="245"/>
      <c r="J66" s="245"/>
      <c r="K66" s="245"/>
      <c r="L66" s="245"/>
      <c r="M66" s="263"/>
      <c r="N66" s="48"/>
      <c r="O66" s="48"/>
    </row>
    <row r="67" spans="1:15" ht="14.25" customHeight="1" x14ac:dyDescent="0.3">
      <c r="A67" s="259"/>
      <c r="B67" s="259" t="s">
        <v>282</v>
      </c>
      <c r="C67" s="245">
        <f>IFERROR('Balance Sheet Summary'!C40,0)</f>
        <v>4.01</v>
      </c>
      <c r="D67" s="245">
        <f>IFERROR('Balance Sheet Summary'!D40,0)</f>
        <v>81.78</v>
      </c>
      <c r="E67" s="245">
        <f>IFERROR('Balance Sheet Summary'!E40,0)</f>
        <v>0</v>
      </c>
      <c r="F67" s="245">
        <f>IFERROR('Balance Sheet Summary'!F40,0)</f>
        <v>0</v>
      </c>
      <c r="G67" s="245">
        <f>IFERROR('Balance Sheet Summary'!G40,0)</f>
        <v>0</v>
      </c>
      <c r="H67" s="245">
        <f>IFERROR('Balance Sheet Summary'!H40,0)</f>
        <v>0</v>
      </c>
      <c r="I67" s="245">
        <f>IFERROR('Balance Sheet Summary'!I40,0)</f>
        <v>4.28</v>
      </c>
      <c r="J67" s="245">
        <f>IFERROR('Balance Sheet Summary'!J40,0)</f>
        <v>33.65</v>
      </c>
      <c r="K67" s="245">
        <f>IFERROR('Balance Sheet Summary'!K40,0)</f>
        <v>0.81</v>
      </c>
      <c r="L67" s="245">
        <f>IFERROR('Balance Sheet Summary'!L40,0)</f>
        <v>109</v>
      </c>
      <c r="M67" s="264"/>
      <c r="N67" s="48"/>
      <c r="O67" s="48"/>
    </row>
    <row r="68" spans="1:15" ht="14.25" customHeight="1" x14ac:dyDescent="0.3">
      <c r="A68" s="259"/>
      <c r="B68" s="259" t="s">
        <v>283</v>
      </c>
      <c r="C68" s="245">
        <f>IFERROR('Balance Sheet Summary'!C41,0)</f>
        <v>132.43</v>
      </c>
      <c r="D68" s="245">
        <f>IFERROR('Balance Sheet Summary'!D41,0)</f>
        <v>236.51</v>
      </c>
      <c r="E68" s="245">
        <f>IFERROR('Balance Sheet Summary'!E41,0)</f>
        <v>49.75</v>
      </c>
      <c r="F68" s="245">
        <f>IFERROR('Balance Sheet Summary'!F41,0)</f>
        <v>65.16</v>
      </c>
      <c r="G68" s="245">
        <f>IFERROR('Balance Sheet Summary'!G41,0)</f>
        <v>75.959999999999994</v>
      </c>
      <c r="H68" s="245">
        <f>IFERROR('Balance Sheet Summary'!H41,0)</f>
        <v>10.81</v>
      </c>
      <c r="I68" s="245">
        <f>IFERROR('Balance Sheet Summary'!I41,0)</f>
        <v>357.53</v>
      </c>
      <c r="J68" s="245">
        <f>IFERROR('Balance Sheet Summary'!J41,0)</f>
        <v>298.68</v>
      </c>
      <c r="K68" s="245">
        <f>IFERROR('Balance Sheet Summary'!K41,0)</f>
        <v>620.08000000000004</v>
      </c>
      <c r="L68" s="245">
        <f>IFERROR('Balance Sheet Summary'!L41,0)</f>
        <v>369.13</v>
      </c>
      <c r="M68" s="264"/>
      <c r="N68" s="48"/>
      <c r="O68" s="48"/>
    </row>
    <row r="69" spans="1:15" ht="14.25" customHeight="1" x14ac:dyDescent="0.3">
      <c r="A69" s="259"/>
      <c r="B69" s="268" t="s">
        <v>284</v>
      </c>
      <c r="C69" s="253">
        <f>IFERROR('Balance Sheet Summary'!C39-'Balance Sheet Summary'!C40-'Balance Sheet Summary'!C41,0)</f>
        <v>389.64000000000004</v>
      </c>
      <c r="D69" s="253">
        <f>IFERROR('Balance Sheet Summary'!D39-'Balance Sheet Summary'!D40-'Balance Sheet Summary'!D41,0)</f>
        <v>13.080000000000013</v>
      </c>
      <c r="E69" s="253">
        <f>IFERROR('Balance Sheet Summary'!E39-'Balance Sheet Summary'!E40-'Balance Sheet Summary'!E41,0)</f>
        <v>19.379999999999995</v>
      </c>
      <c r="F69" s="253">
        <f>IFERROR('Balance Sheet Summary'!F39-'Balance Sheet Summary'!F40-'Balance Sheet Summary'!F41,0)</f>
        <v>42.980000000000004</v>
      </c>
      <c r="G69" s="253">
        <f>IFERROR('Balance Sheet Summary'!G39-'Balance Sheet Summary'!G40-'Balance Sheet Summary'!G41,0)</f>
        <v>32.580000000000013</v>
      </c>
      <c r="H69" s="253">
        <f>IFERROR('Balance Sheet Summary'!H39-'Balance Sheet Summary'!H40-'Balance Sheet Summary'!H41,0)</f>
        <v>36.349999999999994</v>
      </c>
      <c r="I69" s="253">
        <f>IFERROR('Balance Sheet Summary'!I39-'Balance Sheet Summary'!I40-'Balance Sheet Summary'!I41,0)</f>
        <v>109.02000000000004</v>
      </c>
      <c r="J69" s="253">
        <f>IFERROR('Balance Sheet Summary'!J39-'Balance Sheet Summary'!J40-'Balance Sheet Summary'!J41,0)</f>
        <v>25.220000000000027</v>
      </c>
      <c r="K69" s="253">
        <f>IFERROR('Balance Sheet Summary'!K39-'Balance Sheet Summary'!K40-'Balance Sheet Summary'!K41,0)</f>
        <v>39.960000000000036</v>
      </c>
      <c r="L69" s="253">
        <f>IFERROR('Balance Sheet Summary'!L39-'Balance Sheet Summary'!L40-'Balance Sheet Summary'!L41,0)</f>
        <v>246.71000000000004</v>
      </c>
      <c r="M69" s="246" t="s">
        <v>285</v>
      </c>
      <c r="N69" s="48"/>
      <c r="O69" s="48"/>
    </row>
    <row r="70" spans="1:15" ht="14.25" customHeight="1" x14ac:dyDescent="0.3">
      <c r="A70" s="259"/>
      <c r="B70" s="258" t="s">
        <v>286</v>
      </c>
      <c r="C70" s="269">
        <f t="shared" ref="C70:L70" si="19">IFERROR(C67+C68+C69,0)</f>
        <v>526.08000000000004</v>
      </c>
      <c r="D70" s="269">
        <f t="shared" si="19"/>
        <v>331.37</v>
      </c>
      <c r="E70" s="269">
        <f t="shared" si="19"/>
        <v>69.13</v>
      </c>
      <c r="F70" s="269">
        <f t="shared" si="19"/>
        <v>108.14</v>
      </c>
      <c r="G70" s="269">
        <f t="shared" si="19"/>
        <v>108.54</v>
      </c>
      <c r="H70" s="269">
        <f t="shared" si="19"/>
        <v>47.16</v>
      </c>
      <c r="I70" s="269">
        <f t="shared" si="19"/>
        <v>470.83</v>
      </c>
      <c r="J70" s="269">
        <f t="shared" si="19"/>
        <v>357.55</v>
      </c>
      <c r="K70" s="269">
        <f t="shared" si="19"/>
        <v>660.85</v>
      </c>
      <c r="L70" s="269">
        <f t="shared" si="19"/>
        <v>724.84</v>
      </c>
      <c r="M70" s="246" t="s">
        <v>287</v>
      </c>
      <c r="N70" s="48"/>
      <c r="O70" s="48"/>
    </row>
    <row r="71" spans="1:15" ht="14.25" customHeight="1" x14ac:dyDescent="0.3">
      <c r="A71" s="259"/>
      <c r="B71" s="258"/>
      <c r="C71" s="245"/>
      <c r="D71" s="245"/>
      <c r="E71" s="245"/>
      <c r="F71" s="245"/>
      <c r="G71" s="245"/>
      <c r="H71" s="245"/>
      <c r="I71" s="245"/>
      <c r="J71" s="245"/>
      <c r="K71" s="245"/>
      <c r="L71" s="245"/>
      <c r="M71" s="263"/>
      <c r="N71" s="48"/>
      <c r="O71" s="48"/>
    </row>
    <row r="72" spans="1:15" ht="14.25" customHeight="1" x14ac:dyDescent="0.3">
      <c r="A72" s="259"/>
      <c r="B72" s="258" t="s">
        <v>288</v>
      </c>
      <c r="C72" s="265">
        <f t="shared" ref="C72:L72" si="20">IFERROR(C63+C70,0)</f>
        <v>526.43000000000006</v>
      </c>
      <c r="D72" s="265">
        <f t="shared" si="20"/>
        <v>820.23</v>
      </c>
      <c r="E72" s="265">
        <f t="shared" si="20"/>
        <v>599.4</v>
      </c>
      <c r="F72" s="265">
        <f t="shared" si="20"/>
        <v>561.41000000000008</v>
      </c>
      <c r="G72" s="265">
        <f t="shared" si="20"/>
        <v>543.59</v>
      </c>
      <c r="H72" s="265">
        <f t="shared" si="20"/>
        <v>489.47</v>
      </c>
      <c r="I72" s="265">
        <f t="shared" si="20"/>
        <v>1038.9000000000001</v>
      </c>
      <c r="J72" s="265">
        <f t="shared" si="20"/>
        <v>749.49</v>
      </c>
      <c r="K72" s="265">
        <f t="shared" si="20"/>
        <v>1034.53</v>
      </c>
      <c r="L72" s="265">
        <f t="shared" si="20"/>
        <v>1079.8700000000001</v>
      </c>
      <c r="M72" s="246" t="s">
        <v>289</v>
      </c>
      <c r="N72" s="48"/>
      <c r="O72" s="48"/>
    </row>
    <row r="73" spans="1:15" ht="14.25" customHeight="1" x14ac:dyDescent="0.3">
      <c r="A73" s="259"/>
      <c r="B73" s="258"/>
      <c r="C73" s="245"/>
      <c r="D73" s="245"/>
      <c r="E73" s="245"/>
      <c r="F73" s="245"/>
      <c r="G73" s="245"/>
      <c r="H73" s="245"/>
      <c r="I73" s="245"/>
      <c r="J73" s="245"/>
      <c r="K73" s="245"/>
      <c r="L73" s="245"/>
      <c r="M73" s="263"/>
      <c r="N73" s="48"/>
      <c r="O73" s="48"/>
    </row>
    <row r="74" spans="1:15" ht="14.25" customHeight="1" x14ac:dyDescent="0.3">
      <c r="A74" s="259"/>
      <c r="B74" s="258" t="s">
        <v>290</v>
      </c>
      <c r="C74" s="270">
        <f t="shared" ref="C74:L74" si="21">IFERROR(C56+C63+C70,0)</f>
        <v>612.02</v>
      </c>
      <c r="D74" s="270">
        <f t="shared" si="21"/>
        <v>952.81000000000006</v>
      </c>
      <c r="E74" s="270">
        <f t="shared" si="21"/>
        <v>851.13</v>
      </c>
      <c r="F74" s="270">
        <f t="shared" si="21"/>
        <v>853.2700000000001</v>
      </c>
      <c r="G74" s="270">
        <f t="shared" si="21"/>
        <v>823.63999999999987</v>
      </c>
      <c r="H74" s="270">
        <f t="shared" si="21"/>
        <v>827.35</v>
      </c>
      <c r="I74" s="270">
        <f t="shared" si="21"/>
        <v>1615.55</v>
      </c>
      <c r="J74" s="270">
        <f t="shared" si="21"/>
        <v>1491.05</v>
      </c>
      <c r="K74" s="270">
        <f t="shared" si="21"/>
        <v>1875.56</v>
      </c>
      <c r="L74" s="270">
        <f t="shared" si="21"/>
        <v>1877.4700000000003</v>
      </c>
      <c r="M74" s="246" t="s">
        <v>291</v>
      </c>
      <c r="N74" s="48"/>
      <c r="O74" s="48"/>
    </row>
    <row r="75" spans="1:15" ht="14.25" customHeight="1" x14ac:dyDescent="0.3">
      <c r="A75" s="259"/>
      <c r="B75" s="258"/>
      <c r="C75" s="245"/>
      <c r="D75" s="245"/>
      <c r="E75" s="245"/>
      <c r="F75" s="245"/>
      <c r="G75" s="245"/>
      <c r="H75" s="245"/>
      <c r="I75" s="245"/>
      <c r="J75" s="245"/>
      <c r="K75" s="245"/>
      <c r="L75" s="245"/>
      <c r="M75" s="263"/>
      <c r="N75" s="48"/>
      <c r="O75" s="48"/>
    </row>
    <row r="76" spans="1:15" ht="14.25" customHeight="1" x14ac:dyDescent="0.3">
      <c r="A76" s="259"/>
      <c r="B76" s="262" t="s">
        <v>292</v>
      </c>
      <c r="C76" s="245"/>
      <c r="D76" s="245"/>
      <c r="E76" s="245"/>
      <c r="F76" s="245"/>
      <c r="G76" s="245"/>
      <c r="H76" s="245"/>
      <c r="I76" s="245"/>
      <c r="J76" s="245"/>
      <c r="K76" s="245"/>
      <c r="L76" s="245"/>
      <c r="M76" s="263"/>
      <c r="N76" s="48"/>
      <c r="O76" s="48"/>
    </row>
    <row r="77" spans="1:15" ht="14.25" customHeight="1" x14ac:dyDescent="0.3">
      <c r="A77" s="259"/>
      <c r="B77" s="262"/>
      <c r="C77" s="245"/>
      <c r="D77" s="245"/>
      <c r="E77" s="245"/>
      <c r="F77" s="245"/>
      <c r="G77" s="245"/>
      <c r="H77" s="245"/>
      <c r="I77" s="245"/>
      <c r="J77" s="245"/>
      <c r="K77" s="245"/>
      <c r="L77" s="245"/>
      <c r="M77" s="263"/>
      <c r="N77" s="48"/>
      <c r="O77" s="48"/>
    </row>
    <row r="78" spans="1:15" ht="14.25" customHeight="1" x14ac:dyDescent="0.3">
      <c r="A78" s="259"/>
      <c r="B78" s="262" t="s">
        <v>293</v>
      </c>
      <c r="C78" s="245"/>
      <c r="D78" s="245"/>
      <c r="E78" s="245"/>
      <c r="F78" s="245"/>
      <c r="G78" s="245"/>
      <c r="H78" s="245"/>
      <c r="I78" s="245"/>
      <c r="J78" s="245"/>
      <c r="K78" s="245"/>
      <c r="L78" s="245"/>
      <c r="M78" s="263"/>
      <c r="N78" s="48"/>
      <c r="O78" s="48"/>
    </row>
    <row r="79" spans="1:15" ht="14.25" customHeight="1" x14ac:dyDescent="0.3">
      <c r="A79" s="259"/>
      <c r="B79" s="262"/>
      <c r="C79" s="245"/>
      <c r="D79" s="245"/>
      <c r="E79" s="245"/>
      <c r="F79" s="245"/>
      <c r="G79" s="245"/>
      <c r="H79" s="245"/>
      <c r="I79" s="245"/>
      <c r="J79" s="245"/>
      <c r="K79" s="245"/>
      <c r="L79" s="245"/>
      <c r="M79" s="263"/>
      <c r="N79" s="48"/>
      <c r="O79" s="48"/>
    </row>
    <row r="80" spans="1:15" ht="14.25" customHeight="1" x14ac:dyDescent="0.3">
      <c r="A80" s="259"/>
      <c r="B80" s="259" t="s">
        <v>294</v>
      </c>
      <c r="C80" s="245">
        <f>IFERROR('Balance Sheet Summary'!C45,0)</f>
        <v>459.69</v>
      </c>
      <c r="D80" s="245">
        <f>IFERROR('Balance Sheet Summary'!D45,0)</f>
        <v>433.4</v>
      </c>
      <c r="E80" s="245">
        <f>IFERROR('Balance Sheet Summary'!E45,0)</f>
        <v>504.27</v>
      </c>
      <c r="F80" s="245">
        <f>IFERROR('Balance Sheet Summary'!F45,0)</f>
        <v>487.08</v>
      </c>
      <c r="G80" s="245">
        <f>IFERROR('Balance Sheet Summary'!G45,0)</f>
        <v>500.49</v>
      </c>
      <c r="H80" s="245">
        <f>IFERROR('Balance Sheet Summary'!H45,0)</f>
        <v>494.03</v>
      </c>
      <c r="I80" s="245">
        <f>IFERROR('Balance Sheet Summary'!I45,0)</f>
        <v>493.2</v>
      </c>
      <c r="J80" s="245">
        <f>IFERROR('Balance Sheet Summary'!J45,0)</f>
        <v>473.46</v>
      </c>
      <c r="K80" s="245">
        <f>IFERROR('Balance Sheet Summary'!K45,0)</f>
        <v>461.01</v>
      </c>
      <c r="L80" s="245">
        <f>IFERROR('Balance Sheet Summary'!L45,0)</f>
        <v>787.43</v>
      </c>
      <c r="M80" s="264"/>
      <c r="N80" s="48"/>
      <c r="O80" s="48"/>
    </row>
    <row r="81" spans="1:15" ht="14.25" customHeight="1" x14ac:dyDescent="0.3">
      <c r="A81" s="259"/>
      <c r="B81" s="259" t="s">
        <v>295</v>
      </c>
      <c r="C81" s="245">
        <f>IFERROR('Balance Sheet Summary'!C50,0)</f>
        <v>6.71</v>
      </c>
      <c r="D81" s="245">
        <f>IFERROR('Balance Sheet Summary'!D50,0)</f>
        <v>3.03</v>
      </c>
      <c r="E81" s="245">
        <f>IFERROR('Balance Sheet Summary'!E50,0)</f>
        <v>0</v>
      </c>
      <c r="F81" s="245">
        <f>IFERROR('Balance Sheet Summary'!F50,0)</f>
        <v>16.649999999999999</v>
      </c>
      <c r="G81" s="245">
        <f>IFERROR('Balance Sheet Summary'!G50,0)</f>
        <v>0.69</v>
      </c>
      <c r="H81" s="245">
        <f>IFERROR('Balance Sheet Summary'!H50,0)</f>
        <v>0.17</v>
      </c>
      <c r="I81" s="245">
        <f>IFERROR('Balance Sheet Summary'!I50,0)</f>
        <v>1.62</v>
      </c>
      <c r="J81" s="245">
        <f>IFERROR('Balance Sheet Summary'!J50,0)</f>
        <v>159</v>
      </c>
      <c r="K81" s="245">
        <f>IFERROR('Balance Sheet Summary'!K50,0)</f>
        <v>433.04</v>
      </c>
      <c r="L81" s="245">
        <f>IFERROR('Balance Sheet Summary'!L50,0)</f>
        <v>178.59</v>
      </c>
      <c r="M81" s="264"/>
      <c r="N81" s="48"/>
      <c r="O81" s="48"/>
    </row>
    <row r="82" spans="1:15" ht="14.25" customHeight="1" x14ac:dyDescent="0.3">
      <c r="A82" s="259"/>
      <c r="B82" s="259" t="s">
        <v>296</v>
      </c>
      <c r="C82" s="245">
        <f>IFERROR('Balance Sheet Summary'!C53,0)</f>
        <v>0</v>
      </c>
      <c r="D82" s="245">
        <f>IFERROR('Balance Sheet Summary'!D53,0)</f>
        <v>0.05</v>
      </c>
      <c r="E82" s="245">
        <f>IFERROR('Balance Sheet Summary'!E53,0)</f>
        <v>0.06</v>
      </c>
      <c r="F82" s="245">
        <f>IFERROR('Balance Sheet Summary'!F53,0)</f>
        <v>0.03</v>
      </c>
      <c r="G82" s="245">
        <f>IFERROR('Balance Sheet Summary'!G53,0)</f>
        <v>0.02</v>
      </c>
      <c r="H82" s="245">
        <f>IFERROR('Balance Sheet Summary'!H53,0)</f>
        <v>0.05</v>
      </c>
      <c r="I82" s="245">
        <f>IFERROR('Balance Sheet Summary'!I53,0)</f>
        <v>0.14000000000000001</v>
      </c>
      <c r="J82" s="245">
        <f>IFERROR('Balance Sheet Summary'!J53,0)</f>
        <v>0.25</v>
      </c>
      <c r="K82" s="245">
        <f>IFERROR('Balance Sheet Summary'!K53,0)</f>
        <v>0.53</v>
      </c>
      <c r="L82" s="245">
        <f>IFERROR('Balance Sheet Summary'!L53,0)</f>
        <v>0.45</v>
      </c>
      <c r="M82" s="264"/>
      <c r="N82" s="48"/>
      <c r="O82" s="48"/>
    </row>
    <row r="83" spans="1:15" ht="14.25" customHeight="1" x14ac:dyDescent="0.3">
      <c r="A83" s="259"/>
      <c r="B83" s="268" t="s">
        <v>297</v>
      </c>
      <c r="C83" s="253">
        <f>IFERROR('Balance Sheet Summary'!C57,0)</f>
        <v>0</v>
      </c>
      <c r="D83" s="253">
        <f>IFERROR('Balance Sheet Summary'!D57,0)</f>
        <v>7.75</v>
      </c>
      <c r="E83" s="253">
        <f>IFERROR('Balance Sheet Summary'!E57,0)</f>
        <v>0</v>
      </c>
      <c r="F83" s="253">
        <f>IFERROR('Balance Sheet Summary'!F57,0)</f>
        <v>0</v>
      </c>
      <c r="G83" s="253">
        <f>IFERROR('Balance Sheet Summary'!G57,0)</f>
        <v>0</v>
      </c>
      <c r="H83" s="253">
        <f>IFERROR('Balance Sheet Summary'!H57,0)</f>
        <v>0</v>
      </c>
      <c r="I83" s="253">
        <f>IFERROR('Balance Sheet Summary'!I57,0)</f>
        <v>119.06</v>
      </c>
      <c r="J83" s="253">
        <f>IFERROR('Balance Sheet Summary'!J57,0)</f>
        <v>449.18</v>
      </c>
      <c r="K83" s="253">
        <f>IFERROR('Balance Sheet Summary'!K57,0)</f>
        <v>268.43</v>
      </c>
      <c r="L83" s="253">
        <f>IFERROR('Balance Sheet Summary'!L57,0)</f>
        <v>28.15</v>
      </c>
      <c r="M83" s="264"/>
      <c r="N83" s="48"/>
      <c r="O83" s="48"/>
    </row>
    <row r="84" spans="1:15" ht="14.25" customHeight="1" x14ac:dyDescent="0.3">
      <c r="A84" s="259"/>
      <c r="B84" s="259" t="s">
        <v>298</v>
      </c>
      <c r="C84" s="245">
        <f>IFERROR('Balance Sheet Summary'!C58+'Balance Sheet Summary'!C59,0)</f>
        <v>16.98</v>
      </c>
      <c r="D84" s="245">
        <f>IFERROR('Balance Sheet Summary'!D58+'Balance Sheet Summary'!D59,0)</f>
        <v>121.73</v>
      </c>
      <c r="E84" s="245">
        <f>IFERROR('Balance Sheet Summary'!E58+'Balance Sheet Summary'!E59,0)</f>
        <v>116.3</v>
      </c>
      <c r="F84" s="245">
        <f>IFERROR('Balance Sheet Summary'!F58+'Balance Sheet Summary'!F59,0)</f>
        <v>112.44</v>
      </c>
      <c r="G84" s="245">
        <f>IFERROR('Balance Sheet Summary'!G58+'Balance Sheet Summary'!G59,0)</f>
        <v>109.34</v>
      </c>
      <c r="H84" s="245">
        <f>IFERROR('Balance Sheet Summary'!H58+'Balance Sheet Summary'!H59,0)</f>
        <v>105.25</v>
      </c>
      <c r="I84" s="245">
        <f>IFERROR('Balance Sheet Summary'!I58+'Balance Sheet Summary'!I59,0)</f>
        <v>6.23</v>
      </c>
      <c r="J84" s="245">
        <f>IFERROR('Balance Sheet Summary'!J58+'Balance Sheet Summary'!J59,0)</f>
        <v>2.36</v>
      </c>
      <c r="K84" s="245">
        <f>IFERROR('Balance Sheet Summary'!K58+'Balance Sheet Summary'!K59,0)</f>
        <v>1.25</v>
      </c>
      <c r="L84" s="245">
        <f>IFERROR('Balance Sheet Summary'!L58+'Balance Sheet Summary'!L59,0)</f>
        <v>146.97999999999999</v>
      </c>
      <c r="M84" s="246" t="s">
        <v>299</v>
      </c>
      <c r="N84" s="48"/>
      <c r="O84" s="48"/>
    </row>
    <row r="85" spans="1:15" ht="14.25" customHeight="1" x14ac:dyDescent="0.3">
      <c r="A85" s="259"/>
      <c r="B85" s="207" t="s">
        <v>300</v>
      </c>
      <c r="C85" s="271">
        <f t="shared" ref="C85:L85" si="22">IFERROR(C80+C81+C82+C83+C84,0)</f>
        <v>483.38</v>
      </c>
      <c r="D85" s="271">
        <f t="shared" si="22"/>
        <v>565.95999999999992</v>
      </c>
      <c r="E85" s="271">
        <f t="shared" si="22"/>
        <v>620.63</v>
      </c>
      <c r="F85" s="271">
        <f t="shared" si="22"/>
        <v>616.19999999999993</v>
      </c>
      <c r="G85" s="271">
        <f t="shared" si="22"/>
        <v>610.54</v>
      </c>
      <c r="H85" s="271">
        <f t="shared" si="22"/>
        <v>599.5</v>
      </c>
      <c r="I85" s="271">
        <f t="shared" si="22"/>
        <v>620.25</v>
      </c>
      <c r="J85" s="271">
        <f t="shared" si="22"/>
        <v>1084.25</v>
      </c>
      <c r="K85" s="271">
        <f t="shared" si="22"/>
        <v>1164.26</v>
      </c>
      <c r="L85" s="271">
        <f t="shared" si="22"/>
        <v>1141.5999999999999</v>
      </c>
      <c r="M85" s="246" t="s">
        <v>301</v>
      </c>
      <c r="N85" s="48"/>
      <c r="O85" s="48"/>
    </row>
    <row r="86" spans="1:15" ht="14.25" customHeight="1" x14ac:dyDescent="0.3">
      <c r="A86" s="259"/>
      <c r="B86" s="258"/>
      <c r="C86" s="245"/>
      <c r="D86" s="245"/>
      <c r="E86" s="245"/>
      <c r="F86" s="245"/>
      <c r="G86" s="245"/>
      <c r="H86" s="245"/>
      <c r="I86" s="245"/>
      <c r="J86" s="245"/>
      <c r="K86" s="245"/>
      <c r="L86" s="245"/>
      <c r="M86" s="263"/>
      <c r="N86" s="48"/>
      <c r="O86" s="48"/>
    </row>
    <row r="87" spans="1:15" ht="14.25" customHeight="1" x14ac:dyDescent="0.3">
      <c r="A87" s="259"/>
      <c r="B87" s="262" t="s">
        <v>302</v>
      </c>
      <c r="C87" s="245"/>
      <c r="D87" s="245"/>
      <c r="E87" s="245"/>
      <c r="F87" s="245"/>
      <c r="G87" s="245"/>
      <c r="H87" s="245"/>
      <c r="I87" s="245"/>
      <c r="J87" s="245"/>
      <c r="K87" s="245"/>
      <c r="L87" s="245"/>
      <c r="M87" s="263"/>
      <c r="N87" s="48"/>
      <c r="O87" s="48"/>
    </row>
    <row r="88" spans="1:15" ht="14.25" customHeight="1" x14ac:dyDescent="0.3">
      <c r="A88" s="259"/>
      <c r="B88" s="262"/>
      <c r="C88" s="245"/>
      <c r="D88" s="245"/>
      <c r="E88" s="245"/>
      <c r="F88" s="245"/>
      <c r="G88" s="245"/>
      <c r="H88" s="245"/>
      <c r="I88" s="245"/>
      <c r="J88" s="245"/>
      <c r="K88" s="245"/>
      <c r="L88" s="245"/>
      <c r="M88" s="263"/>
      <c r="N88" s="48"/>
      <c r="O88" s="48"/>
    </row>
    <row r="89" spans="1:15" ht="14.25" customHeight="1" x14ac:dyDescent="0.3">
      <c r="A89" s="259"/>
      <c r="B89" s="259" t="s">
        <v>303</v>
      </c>
      <c r="C89" s="245">
        <f>IFERROR('Balance Sheet Summary'!C62,0)</f>
        <v>104.7</v>
      </c>
      <c r="D89" s="245">
        <f>IFERROR('Balance Sheet Summary'!D62,0)</f>
        <v>156.52000000000001</v>
      </c>
      <c r="E89" s="245">
        <f>IFERROR('Balance Sheet Summary'!E62,0)</f>
        <v>54.78</v>
      </c>
      <c r="F89" s="245">
        <f>IFERROR('Balance Sheet Summary'!F62,0)</f>
        <v>140.43</v>
      </c>
      <c r="G89" s="245">
        <f>IFERROR('Balance Sheet Summary'!G62,0)</f>
        <v>136.77000000000001</v>
      </c>
      <c r="H89" s="245">
        <f>IFERROR('Balance Sheet Summary'!H62,0)</f>
        <v>99.85</v>
      </c>
      <c r="I89" s="245">
        <f>IFERROR('Balance Sheet Summary'!I62,0)</f>
        <v>603.33000000000004</v>
      </c>
      <c r="J89" s="245">
        <f>IFERROR('Balance Sheet Summary'!J62,0)</f>
        <v>284.14</v>
      </c>
      <c r="K89" s="245">
        <f>IFERROR('Balance Sheet Summary'!K62,0)</f>
        <v>340.02</v>
      </c>
      <c r="L89" s="245">
        <f>IFERROR('Balance Sheet Summary'!L62,0)</f>
        <v>321.39999999999998</v>
      </c>
      <c r="M89" s="264"/>
      <c r="N89" s="48"/>
      <c r="O89" s="48"/>
    </row>
    <row r="90" spans="1:15" ht="14.25" customHeight="1" x14ac:dyDescent="0.3">
      <c r="A90" s="259"/>
      <c r="B90" s="259" t="s">
        <v>304</v>
      </c>
      <c r="C90" s="245">
        <f>IFERROR('Balance Sheet Summary'!C63,0)</f>
        <v>18.190000000000001</v>
      </c>
      <c r="D90" s="245">
        <f>IFERROR('Balance Sheet Summary'!D63,0)</f>
        <v>26.96</v>
      </c>
      <c r="E90" s="245">
        <f>IFERROR('Balance Sheet Summary'!E63,0)</f>
        <v>34.299999999999997</v>
      </c>
      <c r="F90" s="245">
        <f>IFERROR('Balance Sheet Summary'!F63,0)</f>
        <v>12.93</v>
      </c>
      <c r="G90" s="245">
        <f>IFERROR('Balance Sheet Summary'!G63,0)</f>
        <v>8.6</v>
      </c>
      <c r="H90" s="245">
        <f>IFERROR('Balance Sheet Summary'!H63,0)</f>
        <v>47.83</v>
      </c>
      <c r="I90" s="245">
        <f>IFERROR('Balance Sheet Summary'!I63,0)</f>
        <v>108.87</v>
      </c>
      <c r="J90" s="245">
        <f>IFERROR('Balance Sheet Summary'!J63,0)</f>
        <v>37.56</v>
      </c>
      <c r="K90" s="245">
        <f>IFERROR('Balance Sheet Summary'!K63,0)</f>
        <v>76.88</v>
      </c>
      <c r="L90" s="245">
        <f>IFERROR('Balance Sheet Summary'!L63,0)</f>
        <v>114.13</v>
      </c>
      <c r="M90" s="264"/>
      <c r="N90" s="48"/>
      <c r="O90" s="48"/>
    </row>
    <row r="91" spans="1:15" ht="14.25" customHeight="1" x14ac:dyDescent="0.3">
      <c r="A91" s="259"/>
      <c r="B91" s="259" t="s">
        <v>172</v>
      </c>
      <c r="C91" s="245">
        <f>IFERROR('Balance Sheet Summary'!C64,0)</f>
        <v>0.04</v>
      </c>
      <c r="D91" s="245">
        <f>IFERROR('Balance Sheet Summary'!D64,0)</f>
        <v>11.91</v>
      </c>
      <c r="E91" s="245">
        <f>IFERROR('Balance Sheet Summary'!E64,0)</f>
        <v>46.55</v>
      </c>
      <c r="F91" s="245">
        <f>IFERROR('Balance Sheet Summary'!F64,0)</f>
        <v>25.19</v>
      </c>
      <c r="G91" s="245">
        <f>IFERROR('Balance Sheet Summary'!G64,0)</f>
        <v>18.920000000000002</v>
      </c>
      <c r="H91" s="245">
        <f>IFERROR('Balance Sheet Summary'!H64,0)</f>
        <v>48.52</v>
      </c>
      <c r="I91" s="245">
        <f>IFERROR('Balance Sheet Summary'!I64,0)</f>
        <v>248.19</v>
      </c>
      <c r="J91" s="245">
        <f>IFERROR('Balance Sheet Summary'!J64,0)</f>
        <v>11.14</v>
      </c>
      <c r="K91" s="245">
        <f>IFERROR('Balance Sheet Summary'!K64,0)</f>
        <v>74.8</v>
      </c>
      <c r="L91" s="245">
        <f>IFERROR('Balance Sheet Summary'!L64,0)</f>
        <v>210.18</v>
      </c>
      <c r="M91" s="264"/>
      <c r="N91" s="48"/>
      <c r="O91" s="48"/>
    </row>
    <row r="92" spans="1:15" ht="14.25" customHeight="1" x14ac:dyDescent="0.3">
      <c r="A92" s="259"/>
      <c r="B92" s="272" t="s">
        <v>305</v>
      </c>
      <c r="C92" s="245">
        <f>IFERROR(ROUND('Balance Sheet Summary'!C61-C89-C90-C91-('Balance Sheet Summary'!C65+'Balance Sheet Summary'!C66),2),0)</f>
        <v>0</v>
      </c>
      <c r="D92" s="273">
        <f>IFERROR(ROUND('Balance Sheet Summary'!D61-D89-D90-D91-('Balance Sheet Summary'!D65+'Balance Sheet Summary'!D66),2),0)</f>
        <v>160</v>
      </c>
      <c r="E92" s="245">
        <f>IFERROR(ROUND('Balance Sheet Summary'!E61-E89-E90-E91-('Balance Sheet Summary'!E65+'Balance Sheet Summary'!E66),2),0)</f>
        <v>0.01</v>
      </c>
      <c r="F92" s="245">
        <f>IFERROR(ROUND('Balance Sheet Summary'!F61-F89-F90-F91-('Balance Sheet Summary'!F65+'Balance Sheet Summary'!F66),2),0)</f>
        <v>0.06</v>
      </c>
      <c r="G92" s="245">
        <f>IFERROR(ROUND('Balance Sheet Summary'!G61-G89-G90-G91-('Balance Sheet Summary'!G65+'Balance Sheet Summary'!G66),2),0)</f>
        <v>0.74</v>
      </c>
      <c r="H92" s="245">
        <f>IFERROR(ROUND('Balance Sheet Summary'!H61-H89-H90-H91-('Balance Sheet Summary'!H65+'Balance Sheet Summary'!H66),2),0)</f>
        <v>1.88</v>
      </c>
      <c r="I92" s="245">
        <f>IFERROR(ROUND('Balance Sheet Summary'!I61-I89-I90-I91-('Balance Sheet Summary'!I65+'Balance Sheet Summary'!I66),2),0)</f>
        <v>0.09</v>
      </c>
      <c r="J92" s="245">
        <f>IFERROR(ROUND('Balance Sheet Summary'!J61-J89-J90-J91-('Balance Sheet Summary'!J65+'Balance Sheet Summary'!J66),2),0)</f>
        <v>6.11</v>
      </c>
      <c r="K92" s="245">
        <f>IFERROR(ROUND('Balance Sheet Summary'!K61-K89-K90-K91-('Balance Sheet Summary'!K65+'Balance Sheet Summary'!K66),2),0)</f>
        <v>28.47</v>
      </c>
      <c r="L92" s="42">
        <f>IFERROR(IF(ABS('Balance Sheet Summary'!L61-L89-L90-L91-('Balance Sheet Summary'!L65+'Balance Sheet Summary'!L66))&lt;0.05,0,ROUND('Balance Sheet Summary'!L61-L89-L90-L91-('Balance Sheet Summary'!L65+'Balance Sheet Summary'!L66),2)),0)</f>
        <v>0</v>
      </c>
      <c r="M92" s="246" t="s">
        <v>306</v>
      </c>
      <c r="N92" s="48"/>
      <c r="O92" s="48"/>
    </row>
    <row r="93" spans="1:15" ht="14.25" customHeight="1" x14ac:dyDescent="0.3">
      <c r="A93" s="259"/>
      <c r="B93" s="259" t="s">
        <v>307</v>
      </c>
      <c r="C93" s="245">
        <f>IFERROR('Balance Sheet Summary'!C65+'Balance Sheet Summary'!C66,0)</f>
        <v>5.71</v>
      </c>
      <c r="D93" s="245">
        <f>IFERROR('Balance Sheet Summary'!D65+'Balance Sheet Summary'!D66,0)</f>
        <v>31.46</v>
      </c>
      <c r="E93" s="245">
        <f>IFERROR('Balance Sheet Summary'!E65+'Balance Sheet Summary'!E66,0)</f>
        <v>94.86</v>
      </c>
      <c r="F93" s="245">
        <f>IFERROR('Balance Sheet Summary'!F65+'Balance Sheet Summary'!F66,0)</f>
        <v>58.46</v>
      </c>
      <c r="G93" s="245">
        <f>IFERROR('Balance Sheet Summary'!G65+'Balance Sheet Summary'!G66,0)</f>
        <v>48.07</v>
      </c>
      <c r="H93" s="245">
        <f>IFERROR('Balance Sheet Summary'!H65+'Balance Sheet Summary'!H66,0)</f>
        <v>29.77</v>
      </c>
      <c r="I93" s="245">
        <f>IFERROR('Balance Sheet Summary'!I65+'Balance Sheet Summary'!I66,0)</f>
        <v>34.82</v>
      </c>
      <c r="J93" s="245">
        <f>IFERROR('Balance Sheet Summary'!J65+'Balance Sheet Summary'!J66,0)</f>
        <v>67.849999999999994</v>
      </c>
      <c r="K93" s="245">
        <f>IFERROR('Balance Sheet Summary'!K65+'Balance Sheet Summary'!K66,0)</f>
        <v>191.13</v>
      </c>
      <c r="L93" s="245">
        <f>IFERROR('Balance Sheet Summary'!L65+'Balance Sheet Summary'!L66,0)</f>
        <v>90.16</v>
      </c>
      <c r="M93" s="246" t="s">
        <v>308</v>
      </c>
      <c r="N93" s="48"/>
      <c r="O93" s="48"/>
    </row>
    <row r="94" spans="1:15" ht="14.25" customHeight="1" x14ac:dyDescent="0.3">
      <c r="A94" s="259"/>
      <c r="B94" s="258" t="s">
        <v>309</v>
      </c>
      <c r="C94" s="265">
        <f t="shared" ref="C94:L94" si="23">IFERROR(C89+C90+C91+C92+C93,0)</f>
        <v>128.64000000000001</v>
      </c>
      <c r="D94" s="265">
        <f t="shared" si="23"/>
        <v>386.84999999999997</v>
      </c>
      <c r="E94" s="265">
        <f t="shared" si="23"/>
        <v>230.5</v>
      </c>
      <c r="F94" s="265">
        <f t="shared" si="23"/>
        <v>237.07000000000002</v>
      </c>
      <c r="G94" s="265">
        <f t="shared" si="23"/>
        <v>213.10000000000002</v>
      </c>
      <c r="H94" s="265">
        <f t="shared" si="23"/>
        <v>227.85000000000002</v>
      </c>
      <c r="I94" s="265">
        <f t="shared" si="23"/>
        <v>995.30000000000018</v>
      </c>
      <c r="J94" s="265">
        <f t="shared" si="23"/>
        <v>406.79999999999995</v>
      </c>
      <c r="K94" s="265">
        <f t="shared" si="23"/>
        <v>711.3</v>
      </c>
      <c r="L94" s="265">
        <f t="shared" si="23"/>
        <v>735.87</v>
      </c>
      <c r="M94" s="246" t="s">
        <v>310</v>
      </c>
      <c r="N94" s="48"/>
      <c r="O94" s="48"/>
    </row>
    <row r="95" spans="1:15" ht="14.25" customHeight="1" x14ac:dyDescent="0.3">
      <c r="A95" s="259"/>
      <c r="B95" s="258"/>
      <c r="C95" s="269"/>
      <c r="D95" s="269"/>
      <c r="E95" s="269"/>
      <c r="F95" s="269"/>
      <c r="G95" s="269"/>
      <c r="H95" s="269"/>
      <c r="I95" s="269"/>
      <c r="J95" s="269"/>
      <c r="K95" s="269"/>
      <c r="L95" s="269"/>
      <c r="M95" s="246"/>
      <c r="N95" s="48"/>
      <c r="O95" s="48"/>
    </row>
    <row r="96" spans="1:15" ht="14.25" customHeight="1" x14ac:dyDescent="0.3">
      <c r="A96" s="259"/>
      <c r="B96" s="258" t="s">
        <v>311</v>
      </c>
      <c r="C96" s="270">
        <f t="shared" ref="C96:L96" si="24">IFERROR(C85+C94,0)</f>
        <v>612.02</v>
      </c>
      <c r="D96" s="270">
        <f t="shared" si="24"/>
        <v>952.81</v>
      </c>
      <c r="E96" s="270">
        <f t="shared" si="24"/>
        <v>851.13</v>
      </c>
      <c r="F96" s="270">
        <f t="shared" si="24"/>
        <v>853.27</v>
      </c>
      <c r="G96" s="270">
        <f t="shared" si="24"/>
        <v>823.64</v>
      </c>
      <c r="H96" s="270">
        <f t="shared" si="24"/>
        <v>827.35</v>
      </c>
      <c r="I96" s="270">
        <f t="shared" si="24"/>
        <v>1615.5500000000002</v>
      </c>
      <c r="J96" s="270">
        <f t="shared" si="24"/>
        <v>1491.05</v>
      </c>
      <c r="K96" s="270">
        <f t="shared" si="24"/>
        <v>1875.56</v>
      </c>
      <c r="L96" s="270">
        <f t="shared" si="24"/>
        <v>1877.4699999999998</v>
      </c>
      <c r="M96" s="246" t="s">
        <v>312</v>
      </c>
      <c r="N96" s="48"/>
      <c r="O96" s="48"/>
    </row>
    <row r="97" spans="1:15" ht="14.25" customHeight="1" x14ac:dyDescent="0.3">
      <c r="A97" s="259"/>
      <c r="B97" s="258"/>
      <c r="C97" s="258"/>
      <c r="D97" s="258"/>
      <c r="E97" s="258"/>
      <c r="F97" s="258"/>
      <c r="G97" s="258"/>
      <c r="H97" s="258"/>
      <c r="I97" s="258"/>
      <c r="J97" s="258"/>
      <c r="K97" s="258"/>
      <c r="L97" s="258"/>
      <c r="M97" s="263"/>
      <c r="N97" s="48"/>
      <c r="O97" s="48"/>
    </row>
    <row r="98" spans="1:15" ht="14.25" customHeight="1" x14ac:dyDescent="0.3">
      <c r="A98" s="259"/>
      <c r="B98" s="258" t="s">
        <v>313</v>
      </c>
      <c r="C98" s="260" t="str">
        <f t="shared" ref="C98:L98" si="25">IFERROR(IF(ROUND(C96-C74,2)=0,"Match",ROUND(C96-C74,2)),"Error")</f>
        <v>Match</v>
      </c>
      <c r="D98" s="260" t="str">
        <f t="shared" si="25"/>
        <v>Match</v>
      </c>
      <c r="E98" s="260" t="str">
        <f t="shared" si="25"/>
        <v>Match</v>
      </c>
      <c r="F98" s="260" t="str">
        <f t="shared" si="25"/>
        <v>Match</v>
      </c>
      <c r="G98" s="260" t="str">
        <f t="shared" si="25"/>
        <v>Match</v>
      </c>
      <c r="H98" s="260" t="str">
        <f t="shared" si="25"/>
        <v>Match</v>
      </c>
      <c r="I98" s="260" t="str">
        <f t="shared" si="25"/>
        <v>Match</v>
      </c>
      <c r="J98" s="260" t="str">
        <f t="shared" si="25"/>
        <v>Match</v>
      </c>
      <c r="K98" s="260" t="str">
        <f t="shared" si="25"/>
        <v>Match</v>
      </c>
      <c r="L98" s="260" t="str">
        <f t="shared" si="25"/>
        <v>Match</v>
      </c>
      <c r="M98" s="246" t="s">
        <v>314</v>
      </c>
      <c r="N98" s="48"/>
      <c r="O98" s="48"/>
    </row>
    <row r="99" spans="1:15" ht="14.25" customHeight="1" x14ac:dyDescent="0.3">
      <c r="A99" s="36"/>
      <c r="B99" s="36"/>
      <c r="C99" s="36"/>
      <c r="D99" s="36"/>
      <c r="E99" s="36"/>
      <c r="F99" s="36"/>
      <c r="G99" s="36"/>
      <c r="H99" s="36"/>
      <c r="I99" s="36"/>
      <c r="J99" s="36"/>
      <c r="K99" s="36"/>
      <c r="L99" s="36"/>
      <c r="M99" s="111"/>
      <c r="N99" s="48"/>
      <c r="O99" s="48"/>
    </row>
    <row r="100" spans="1:15" ht="14.25" customHeight="1" x14ac:dyDescent="0.3">
      <c r="A100" s="36"/>
      <c r="B100" s="258" t="s">
        <v>315</v>
      </c>
      <c r="C100" s="260" t="str">
        <f>IFERROR(IF(AND(ROUND(C96-'Balance Sheet Summary'!C43,2)=0,ROUND(C74-'Balance Sheet Summary'!C8,2)=0),"Match","E+L vs BSS: "&amp;TEXT(ROUND(C74-'Balance Sheet Summary'!C8,2),"0.00")),"Error")</f>
        <v>Match</v>
      </c>
      <c r="D100" s="260" t="str">
        <f>IFERROR(IF(AND(ROUND(D96-'Balance Sheet Summary'!D43,2)=0,ROUND(D74-'Balance Sheet Summary'!D8,2)=0),"Match","E+L vs BSS: "&amp;TEXT(ROUND(D74-'Balance Sheet Summary'!D8,2),"0.00")),"Error")</f>
        <v>Match</v>
      </c>
      <c r="E100" s="260" t="str">
        <f>IFERROR(IF(AND(ROUND(E96-'Balance Sheet Summary'!E43,2)=0,ROUND(E74-'Balance Sheet Summary'!E8,2)=0),"Match","E+L vs BSS: "&amp;TEXT(ROUND(E74-'Balance Sheet Summary'!E8,2),"0.00")),"Error")</f>
        <v>Match</v>
      </c>
      <c r="F100" s="260" t="str">
        <f>IFERROR(IF(AND(ROUND(F96-'Balance Sheet Summary'!F43,2)=0,ROUND(F74-'Balance Sheet Summary'!F8,2)=0),"Match","E+L vs BSS: "&amp;TEXT(ROUND(F74-'Balance Sheet Summary'!F8,2),"0.00")),"Error")</f>
        <v>Match</v>
      </c>
      <c r="G100" s="260" t="str">
        <f>IFERROR(IF(AND(ROUND(G96-'Balance Sheet Summary'!G43,2)=0,ROUND(G74-'Balance Sheet Summary'!G8,2)=0),"Match","E+L vs BSS: "&amp;TEXT(ROUND(G74-'Balance Sheet Summary'!G8,2),"0.00")),"Error")</f>
        <v>Match</v>
      </c>
      <c r="H100" s="260" t="str">
        <f>IFERROR(IF(AND(ROUND(H96-'Balance Sheet Summary'!H43,2)=0,ROUND(H74-'Balance Sheet Summary'!H8,2)=0),"Match","E+L vs BSS: "&amp;TEXT(ROUND(H74-'Balance Sheet Summary'!H8,2),"0.00")),"Error")</f>
        <v>Match</v>
      </c>
      <c r="I100" s="260" t="str">
        <f>IFERROR(IF(AND(ROUND(I96-'Balance Sheet Summary'!I43,2)=0,ROUND(I74-'Balance Sheet Summary'!I8,2)=0),"Match","E+L vs BSS: "&amp;TEXT(ROUND(I74-'Balance Sheet Summary'!I8,2),"0.00")),"Error")</f>
        <v>Match</v>
      </c>
      <c r="J100" s="260" t="str">
        <f>IFERROR(IF(AND(ROUND(J96-'Balance Sheet Summary'!J43,2)=0,ROUND(J74-'Balance Sheet Summary'!J8,2)=0),"Match","E+L vs BSS: "&amp;TEXT(ROUND(J74-'Balance Sheet Summary'!J8,2),"0.00")),"Error")</f>
        <v>Match</v>
      </c>
      <c r="K100" s="260" t="str">
        <f>IFERROR(IF(AND(ROUND(K96-'Balance Sheet Summary'!K43,2)=0,ROUND(K74-'Balance Sheet Summary'!K8,2)=0),"Match","E+L vs BSS: "&amp;TEXT(ROUND(K74-'Balance Sheet Summary'!K8,2),"0.00")),"Error")</f>
        <v>Match</v>
      </c>
      <c r="L100" s="260" t="str">
        <f>IFERROR(IF(AND(ROUND(L96-'Balance Sheet Summary'!L43,2)=0,ROUND(L74-'Balance Sheet Summary'!L8,2)=0),"Match","E+L vs BSS: "&amp;TEXT(ROUND(L74-'Balance Sheet Summary'!L8,2),"0.00")),"Error")</f>
        <v>E+L vs BSS: 0.01</v>
      </c>
      <c r="M100" s="246" t="s">
        <v>316</v>
      </c>
      <c r="N100" s="48"/>
      <c r="O100" s="48"/>
    </row>
    <row r="101" spans="1:15" ht="14.25" customHeight="1" x14ac:dyDescent="0.3">
      <c r="A101" s="36"/>
      <c r="B101" s="36"/>
      <c r="C101" s="36"/>
      <c r="D101" s="36"/>
      <c r="E101" s="36"/>
      <c r="F101" s="36"/>
      <c r="G101" s="36"/>
      <c r="H101" s="36"/>
      <c r="I101" s="36"/>
      <c r="J101" s="36"/>
      <c r="K101" s="36"/>
      <c r="L101" s="36"/>
      <c r="M101" s="111"/>
      <c r="N101" s="48"/>
      <c r="O101" s="48"/>
    </row>
    <row r="102" spans="1:15" ht="14.25" customHeight="1" x14ac:dyDescent="0.3">
      <c r="A102" s="162" t="s">
        <v>2</v>
      </c>
      <c r="B102" s="899" t="s">
        <v>317</v>
      </c>
      <c r="C102" s="899"/>
      <c r="D102" s="899"/>
      <c r="E102" s="899"/>
      <c r="F102" s="899"/>
      <c r="G102" s="899"/>
      <c r="H102" s="899"/>
      <c r="I102" s="899"/>
      <c r="J102" s="899"/>
      <c r="K102" s="899"/>
      <c r="L102" s="899"/>
      <c r="M102" s="111"/>
      <c r="N102" s="48"/>
      <c r="O102" s="48"/>
    </row>
    <row r="103" spans="1:15" ht="14.25" customHeight="1" x14ac:dyDescent="0.3">
      <c r="A103" s="36"/>
      <c r="B103" s="36"/>
      <c r="C103" s="36"/>
      <c r="D103" s="36"/>
      <c r="E103" s="36"/>
      <c r="F103" s="36"/>
      <c r="G103" s="36"/>
      <c r="H103" s="36"/>
      <c r="I103" s="36"/>
      <c r="J103" s="36"/>
      <c r="K103" s="36"/>
      <c r="L103" s="36"/>
      <c r="M103" s="111"/>
      <c r="N103" s="48"/>
      <c r="O103" s="48"/>
    </row>
    <row r="104" spans="1:15" ht="14.25" customHeight="1" x14ac:dyDescent="0.3">
      <c r="A104" s="36"/>
      <c r="B104" s="274" t="s">
        <v>318</v>
      </c>
      <c r="C104" s="36"/>
      <c r="D104" s="36"/>
      <c r="E104" s="36"/>
      <c r="F104" s="36"/>
      <c r="G104" s="36"/>
      <c r="H104" s="36"/>
      <c r="I104" s="36"/>
      <c r="J104" s="36"/>
      <c r="K104" s="36"/>
      <c r="L104" s="36"/>
      <c r="M104" s="111"/>
      <c r="N104" s="48"/>
      <c r="O104" s="48"/>
    </row>
    <row r="105" spans="1:15" ht="14.25" customHeight="1" x14ac:dyDescent="0.3">
      <c r="A105" s="36"/>
      <c r="B105" s="36"/>
      <c r="C105" s="36"/>
      <c r="D105" s="36"/>
      <c r="E105" s="36"/>
      <c r="F105" s="36"/>
      <c r="G105" s="36"/>
      <c r="H105" s="36"/>
      <c r="I105" s="36"/>
      <c r="J105" s="36"/>
      <c r="K105" s="36"/>
      <c r="L105" s="36"/>
      <c r="M105" s="111"/>
      <c r="N105" s="48"/>
      <c r="O105" s="48"/>
    </row>
    <row r="106" spans="1:15" ht="14.25" customHeight="1" x14ac:dyDescent="0.3">
      <c r="A106" s="36"/>
      <c r="B106" s="36" t="s">
        <v>319</v>
      </c>
      <c r="C106" s="36"/>
      <c r="D106" s="245">
        <f t="shared" ref="D106:L106" si="26">D42</f>
        <v>24.169999999999938</v>
      </c>
      <c r="E106" s="245">
        <f t="shared" si="26"/>
        <v>57.170000000000044</v>
      </c>
      <c r="F106" s="245">
        <f t="shared" si="26"/>
        <v>40.110000000000042</v>
      </c>
      <c r="G106" s="245">
        <f t="shared" si="26"/>
        <v>-11.749999999999954</v>
      </c>
      <c r="H106" s="245">
        <f t="shared" si="26"/>
        <v>57.860000000000007</v>
      </c>
      <c r="I106" s="245">
        <f t="shared" si="26"/>
        <v>238.81000000000026</v>
      </c>
      <c r="J106" s="245">
        <f t="shared" si="26"/>
        <v>164.98000000000039</v>
      </c>
      <c r="K106" s="245">
        <f t="shared" si="26"/>
        <v>99.519999999999726</v>
      </c>
      <c r="L106" s="245">
        <f t="shared" si="26"/>
        <v>114.60000000000012</v>
      </c>
      <c r="M106" s="264"/>
      <c r="N106" s="48"/>
      <c r="O106" s="48"/>
    </row>
    <row r="107" spans="1:15" ht="14.25" customHeight="1" x14ac:dyDescent="0.3">
      <c r="A107" s="36"/>
      <c r="B107" s="36" t="s">
        <v>320</v>
      </c>
      <c r="C107" s="36"/>
      <c r="D107" s="245">
        <f t="shared" ref="D107:L107" si="27">D23</f>
        <v>29.34</v>
      </c>
      <c r="E107" s="245">
        <f t="shared" si="27"/>
        <v>27.29</v>
      </c>
      <c r="F107" s="245">
        <f t="shared" si="27"/>
        <v>17.23</v>
      </c>
      <c r="G107" s="245">
        <f t="shared" si="27"/>
        <v>17.96</v>
      </c>
      <c r="H107" s="245">
        <f t="shared" si="27"/>
        <v>19.989999999999998</v>
      </c>
      <c r="I107" s="245">
        <f t="shared" si="27"/>
        <v>21.21</v>
      </c>
      <c r="J107" s="245">
        <f t="shared" si="27"/>
        <v>21.45</v>
      </c>
      <c r="K107" s="245">
        <f t="shared" si="27"/>
        <v>21.11</v>
      </c>
      <c r="L107" s="245">
        <f t="shared" si="27"/>
        <v>30.98</v>
      </c>
      <c r="M107" s="264"/>
      <c r="N107" s="48"/>
      <c r="O107" s="48"/>
    </row>
    <row r="108" spans="1:15" ht="14.25" customHeight="1" x14ac:dyDescent="0.3">
      <c r="A108" s="36"/>
      <c r="B108" s="36" t="s">
        <v>321</v>
      </c>
      <c r="C108" s="36"/>
      <c r="D108" s="245">
        <f t="shared" ref="D108:L108" si="28">D61-C61</f>
        <v>0</v>
      </c>
      <c r="E108" s="245">
        <f t="shared" si="28"/>
        <v>33.78</v>
      </c>
      <c r="F108" s="245">
        <f t="shared" si="28"/>
        <v>10.39</v>
      </c>
      <c r="G108" s="245">
        <f t="shared" si="28"/>
        <v>-1.980000000000004</v>
      </c>
      <c r="H108" s="245">
        <f t="shared" si="28"/>
        <v>10.880000000000003</v>
      </c>
      <c r="I108" s="245">
        <f t="shared" si="28"/>
        <v>11.050000000000004</v>
      </c>
      <c r="J108" s="245">
        <f t="shared" si="28"/>
        <v>1.9699999999999989</v>
      </c>
      <c r="K108" s="245">
        <f t="shared" si="28"/>
        <v>6.9999999999993179E-2</v>
      </c>
      <c r="L108" s="245">
        <f t="shared" si="28"/>
        <v>6.7400000000000091</v>
      </c>
      <c r="M108" s="264" t="s">
        <v>322</v>
      </c>
      <c r="N108" s="48"/>
      <c r="O108" s="48"/>
    </row>
    <row r="109" spans="1:15" ht="14.25" customHeight="1" x14ac:dyDescent="0.3">
      <c r="A109" s="36"/>
      <c r="B109" s="36" t="s">
        <v>323</v>
      </c>
      <c r="C109" s="36"/>
      <c r="D109" s="245">
        <f t="shared" ref="D109:L109" si="29">D62-C62</f>
        <v>0.33999999999999997</v>
      </c>
      <c r="E109" s="245">
        <f t="shared" si="29"/>
        <v>0.28000000000000003</v>
      </c>
      <c r="F109" s="245">
        <f t="shared" si="29"/>
        <v>8.0000000000000071E-2</v>
      </c>
      <c r="G109" s="245">
        <f t="shared" si="29"/>
        <v>0.30000000000000004</v>
      </c>
      <c r="H109" s="245">
        <f t="shared" si="29"/>
        <v>8.9999999999999858E-2</v>
      </c>
      <c r="I109" s="245">
        <f t="shared" si="29"/>
        <v>0.28000000000000003</v>
      </c>
      <c r="J109" s="245">
        <f t="shared" si="29"/>
        <v>0.10000000000000009</v>
      </c>
      <c r="K109" s="245">
        <f t="shared" si="29"/>
        <v>0.44999999999999996</v>
      </c>
      <c r="L109" s="245">
        <f t="shared" si="29"/>
        <v>0.2799999999999998</v>
      </c>
      <c r="M109" s="264" t="s">
        <v>324</v>
      </c>
      <c r="N109" s="48"/>
      <c r="O109" s="48"/>
    </row>
    <row r="110" spans="1:15" ht="14.25" customHeight="1" x14ac:dyDescent="0.3">
      <c r="A110" s="36"/>
      <c r="B110" s="36"/>
      <c r="C110" s="36"/>
      <c r="D110" s="36"/>
      <c r="E110" s="36"/>
      <c r="F110" s="36"/>
      <c r="G110" s="36"/>
      <c r="H110" s="36"/>
      <c r="I110" s="36"/>
      <c r="J110" s="36"/>
      <c r="K110" s="36"/>
      <c r="L110" s="36"/>
      <c r="M110" s="111"/>
      <c r="N110" s="48"/>
      <c r="O110" s="48"/>
    </row>
    <row r="111" spans="1:15" ht="14.25" customHeight="1" x14ac:dyDescent="0.3">
      <c r="A111" s="36"/>
      <c r="B111" s="274" t="s">
        <v>325</v>
      </c>
      <c r="C111" s="36"/>
      <c r="D111" s="36"/>
      <c r="E111" s="36"/>
      <c r="F111" s="36"/>
      <c r="G111" s="36"/>
      <c r="H111" s="36"/>
      <c r="I111" s="36"/>
      <c r="J111" s="36"/>
      <c r="K111" s="36"/>
      <c r="L111" s="36"/>
      <c r="M111" s="111"/>
      <c r="N111" s="48"/>
      <c r="O111" s="48"/>
    </row>
    <row r="112" spans="1:15" ht="14.25" customHeight="1" x14ac:dyDescent="0.3">
      <c r="A112" s="36"/>
      <c r="B112" s="36" t="s">
        <v>326</v>
      </c>
      <c r="C112" s="36"/>
      <c r="D112" s="245">
        <f t="shared" ref="D112:L112" si="30">C89-D89</f>
        <v>-51.820000000000007</v>
      </c>
      <c r="E112" s="245">
        <f t="shared" si="30"/>
        <v>101.74000000000001</v>
      </c>
      <c r="F112" s="245">
        <f t="shared" si="30"/>
        <v>-85.65</v>
      </c>
      <c r="G112" s="245">
        <f t="shared" si="30"/>
        <v>3.6599999999999966</v>
      </c>
      <c r="H112" s="245">
        <f t="shared" si="30"/>
        <v>36.920000000000016</v>
      </c>
      <c r="I112" s="245">
        <f t="shared" si="30"/>
        <v>-503.48</v>
      </c>
      <c r="J112" s="245">
        <f t="shared" si="30"/>
        <v>319.19000000000005</v>
      </c>
      <c r="K112" s="245">
        <f t="shared" si="30"/>
        <v>-55.879999999999995</v>
      </c>
      <c r="L112" s="245">
        <f t="shared" si="30"/>
        <v>18.620000000000005</v>
      </c>
      <c r="M112" s="264" t="s">
        <v>327</v>
      </c>
      <c r="N112" s="48"/>
      <c r="O112" s="48"/>
    </row>
    <row r="113" spans="1:15" ht="14.25" customHeight="1" x14ac:dyDescent="0.3">
      <c r="A113" s="36"/>
      <c r="B113" s="36" t="s">
        <v>328</v>
      </c>
      <c r="C113" s="36"/>
      <c r="D113" s="245">
        <f t="shared" ref="D113:L113" si="31">C90-D90</f>
        <v>-8.77</v>
      </c>
      <c r="E113" s="245">
        <f t="shared" si="31"/>
        <v>-7.3399999999999963</v>
      </c>
      <c r="F113" s="245">
        <f t="shared" si="31"/>
        <v>21.369999999999997</v>
      </c>
      <c r="G113" s="245">
        <f t="shared" si="31"/>
        <v>4.33</v>
      </c>
      <c r="H113" s="245">
        <f t="shared" si="31"/>
        <v>-39.229999999999997</v>
      </c>
      <c r="I113" s="245">
        <f t="shared" si="31"/>
        <v>-61.040000000000006</v>
      </c>
      <c r="J113" s="245">
        <f t="shared" si="31"/>
        <v>71.31</v>
      </c>
      <c r="K113" s="245">
        <f t="shared" si="31"/>
        <v>-39.319999999999993</v>
      </c>
      <c r="L113" s="245">
        <f t="shared" si="31"/>
        <v>-37.25</v>
      </c>
      <c r="M113" s="264" t="s">
        <v>329</v>
      </c>
      <c r="N113" s="48"/>
      <c r="O113" s="48"/>
    </row>
    <row r="114" spans="1:15" ht="14.25" customHeight="1" x14ac:dyDescent="0.3">
      <c r="A114" s="36"/>
      <c r="B114" s="36" t="s">
        <v>330</v>
      </c>
      <c r="C114" s="36"/>
      <c r="D114" s="245">
        <f t="shared" ref="D114:L114" si="32">C92-D92</f>
        <v>-160</v>
      </c>
      <c r="E114" s="245">
        <f t="shared" si="32"/>
        <v>159.99</v>
      </c>
      <c r="F114" s="245">
        <f t="shared" si="32"/>
        <v>-4.9999999999999996E-2</v>
      </c>
      <c r="G114" s="245">
        <f t="shared" si="32"/>
        <v>-0.67999999999999994</v>
      </c>
      <c r="H114" s="245">
        <f t="shared" si="32"/>
        <v>-1.1399999999999999</v>
      </c>
      <c r="I114" s="245">
        <f t="shared" si="32"/>
        <v>1.7899999999999998</v>
      </c>
      <c r="J114" s="245">
        <f t="shared" si="32"/>
        <v>-6.0200000000000005</v>
      </c>
      <c r="K114" s="245">
        <f t="shared" si="32"/>
        <v>-22.36</v>
      </c>
      <c r="L114" s="245">
        <f t="shared" si="32"/>
        <v>28.47</v>
      </c>
      <c r="M114" s="264" t="s">
        <v>331</v>
      </c>
      <c r="N114" s="48"/>
      <c r="O114" s="48"/>
    </row>
    <row r="115" spans="1:15" ht="14.25" customHeight="1" x14ac:dyDescent="0.3">
      <c r="A115" s="36"/>
      <c r="B115" s="36" t="s">
        <v>332</v>
      </c>
      <c r="C115" s="36"/>
      <c r="D115" s="245">
        <f t="shared" ref="D115:L115" si="33">D68-C68</f>
        <v>104.07999999999998</v>
      </c>
      <c r="E115" s="245">
        <f t="shared" si="33"/>
        <v>-186.76</v>
      </c>
      <c r="F115" s="245">
        <f t="shared" si="33"/>
        <v>15.409999999999997</v>
      </c>
      <c r="G115" s="245">
        <f t="shared" si="33"/>
        <v>10.799999999999997</v>
      </c>
      <c r="H115" s="245">
        <f t="shared" si="33"/>
        <v>-65.149999999999991</v>
      </c>
      <c r="I115" s="245">
        <f t="shared" si="33"/>
        <v>346.71999999999997</v>
      </c>
      <c r="J115" s="245">
        <f t="shared" si="33"/>
        <v>-58.849999999999966</v>
      </c>
      <c r="K115" s="245">
        <f t="shared" si="33"/>
        <v>321.40000000000003</v>
      </c>
      <c r="L115" s="245">
        <f t="shared" si="33"/>
        <v>-250.95000000000005</v>
      </c>
      <c r="M115" s="264" t="s">
        <v>333</v>
      </c>
      <c r="N115" s="48"/>
      <c r="O115" s="48"/>
    </row>
    <row r="116" spans="1:15" ht="14.25" customHeight="1" x14ac:dyDescent="0.3">
      <c r="A116" s="36"/>
      <c r="B116" s="36" t="s">
        <v>334</v>
      </c>
      <c r="C116" s="36"/>
      <c r="D116" s="245">
        <f t="shared" ref="D116:L116" si="34">D69-C69</f>
        <v>-376.56000000000006</v>
      </c>
      <c r="E116" s="245">
        <f t="shared" si="34"/>
        <v>6.2999999999999829</v>
      </c>
      <c r="F116" s="245">
        <f t="shared" si="34"/>
        <v>23.600000000000009</v>
      </c>
      <c r="G116" s="245">
        <f t="shared" si="34"/>
        <v>-10.399999999999991</v>
      </c>
      <c r="H116" s="245">
        <f t="shared" si="34"/>
        <v>3.7699999999999818</v>
      </c>
      <c r="I116" s="245">
        <f t="shared" si="34"/>
        <v>72.670000000000044</v>
      </c>
      <c r="J116" s="245">
        <f t="shared" si="34"/>
        <v>-83.800000000000011</v>
      </c>
      <c r="K116" s="245">
        <f t="shared" si="34"/>
        <v>14.740000000000009</v>
      </c>
      <c r="L116" s="245">
        <f t="shared" si="34"/>
        <v>206.75</v>
      </c>
      <c r="M116" s="264" t="s">
        <v>335</v>
      </c>
      <c r="N116" s="48"/>
      <c r="O116" s="48"/>
    </row>
    <row r="117" spans="1:15" ht="14.25" customHeight="1" x14ac:dyDescent="0.3">
      <c r="A117" s="36"/>
      <c r="B117" s="36"/>
      <c r="C117" s="36"/>
      <c r="D117" s="36"/>
      <c r="E117" s="36"/>
      <c r="F117" s="36"/>
      <c r="G117" s="36"/>
      <c r="H117" s="36"/>
      <c r="I117" s="36"/>
      <c r="J117" s="36"/>
      <c r="K117" s="36"/>
      <c r="L117" s="36"/>
      <c r="M117" s="111"/>
      <c r="N117" s="48"/>
      <c r="O117" s="48"/>
    </row>
    <row r="118" spans="1:15" ht="14.25" customHeight="1" x14ac:dyDescent="0.3">
      <c r="A118" s="36"/>
      <c r="B118" s="275" t="s">
        <v>336</v>
      </c>
      <c r="C118" s="276"/>
      <c r="D118" s="265">
        <f t="shared" ref="D118:L118" si="35">SUM(D106:D109,D112:D116)</f>
        <v>-439.22000000000014</v>
      </c>
      <c r="E118" s="265">
        <f t="shared" si="35"/>
        <v>192.45000000000007</v>
      </c>
      <c r="F118" s="265">
        <f t="shared" si="35"/>
        <v>42.490000000000038</v>
      </c>
      <c r="G118" s="265">
        <f t="shared" si="35"/>
        <v>12.240000000000045</v>
      </c>
      <c r="H118" s="265">
        <f t="shared" si="35"/>
        <v>23.990000000000038</v>
      </c>
      <c r="I118" s="265">
        <f t="shared" si="35"/>
        <v>128.01000000000025</v>
      </c>
      <c r="J118" s="265">
        <f t="shared" si="35"/>
        <v>430.33000000000055</v>
      </c>
      <c r="K118" s="265">
        <f t="shared" si="35"/>
        <v>339.72999999999979</v>
      </c>
      <c r="L118" s="265">
        <f t="shared" si="35"/>
        <v>118.24000000000009</v>
      </c>
      <c r="M118" s="277" t="s">
        <v>337</v>
      </c>
      <c r="N118" s="48"/>
      <c r="O118" s="48"/>
    </row>
    <row r="119" spans="1:15" ht="14.25" customHeight="1" x14ac:dyDescent="0.3">
      <c r="A119" s="36"/>
      <c r="B119" s="36"/>
      <c r="C119" s="36"/>
      <c r="D119" s="36"/>
      <c r="E119" s="36"/>
      <c r="F119" s="36"/>
      <c r="G119" s="36"/>
      <c r="H119" s="36"/>
      <c r="I119" s="36"/>
      <c r="J119" s="36"/>
      <c r="K119" s="36"/>
      <c r="L119" s="36"/>
      <c r="M119" s="111"/>
      <c r="N119" s="48"/>
      <c r="O119" s="48"/>
    </row>
    <row r="120" spans="1:15" ht="14.25" customHeight="1" x14ac:dyDescent="0.3">
      <c r="A120" s="36"/>
      <c r="B120" s="274" t="s">
        <v>338</v>
      </c>
      <c r="C120" s="36"/>
      <c r="D120" s="36"/>
      <c r="E120" s="36"/>
      <c r="F120" s="36"/>
      <c r="G120" s="36"/>
      <c r="H120" s="36"/>
      <c r="I120" s="36"/>
      <c r="J120" s="36"/>
      <c r="K120" s="36"/>
      <c r="L120" s="36"/>
      <c r="M120" s="111"/>
      <c r="N120" s="48"/>
      <c r="O120" s="48"/>
    </row>
    <row r="121" spans="1:15" ht="14.25" customHeight="1" x14ac:dyDescent="0.3">
      <c r="A121" s="36"/>
      <c r="B121" s="36"/>
      <c r="C121" s="36"/>
      <c r="D121" s="36"/>
      <c r="E121" s="36"/>
      <c r="F121" s="36"/>
      <c r="G121" s="36"/>
      <c r="H121" s="36"/>
      <c r="I121" s="36"/>
      <c r="J121" s="36"/>
      <c r="K121" s="36"/>
      <c r="L121" s="36"/>
      <c r="M121" s="111"/>
      <c r="N121" s="48"/>
      <c r="O121" s="48"/>
    </row>
    <row r="122" spans="1:15" ht="14.25" customHeight="1" x14ac:dyDescent="0.3">
      <c r="A122" s="36"/>
      <c r="B122" s="36" t="s">
        <v>339</v>
      </c>
      <c r="C122" s="36"/>
      <c r="D122" s="245">
        <f t="shared" ref="D122:L122" si="36">-((D80+D81)-(C80+C81)+D23)</f>
        <v>0.63000000000002743</v>
      </c>
      <c r="E122" s="245">
        <f t="shared" si="36"/>
        <v>-95.130000000000024</v>
      </c>
      <c r="F122" s="245">
        <f t="shared" si="36"/>
        <v>-16.68999999999998</v>
      </c>
      <c r="G122" s="245">
        <f t="shared" si="36"/>
        <v>-15.410000000000046</v>
      </c>
      <c r="H122" s="245">
        <f t="shared" si="36"/>
        <v>-13.00999999999998</v>
      </c>
      <c r="I122" s="245">
        <f t="shared" si="36"/>
        <v>-21.830000000000005</v>
      </c>
      <c r="J122" s="245">
        <f t="shared" si="36"/>
        <v>-159.09000000000003</v>
      </c>
      <c r="K122" s="245">
        <f t="shared" si="36"/>
        <v>-282.69999999999993</v>
      </c>
      <c r="L122" s="245">
        <f t="shared" si="36"/>
        <v>-102.95000000000003</v>
      </c>
      <c r="M122" s="264" t="s">
        <v>340</v>
      </c>
      <c r="N122" s="48"/>
      <c r="O122" s="48"/>
    </row>
    <row r="123" spans="1:15" ht="14.25" customHeight="1" x14ac:dyDescent="0.3">
      <c r="A123" s="36"/>
      <c r="B123" s="36" t="s">
        <v>341</v>
      </c>
      <c r="C123" s="36"/>
      <c r="D123" s="245">
        <f t="shared" ref="D123:L123" si="37">C82-D82</f>
        <v>-0.05</v>
      </c>
      <c r="E123" s="245">
        <f t="shared" si="37"/>
        <v>-9.999999999999995E-3</v>
      </c>
      <c r="F123" s="245">
        <f t="shared" si="37"/>
        <v>0.03</v>
      </c>
      <c r="G123" s="245">
        <f t="shared" si="37"/>
        <v>9.9999999999999985E-3</v>
      </c>
      <c r="H123" s="245">
        <f t="shared" si="37"/>
        <v>-3.0000000000000002E-2</v>
      </c>
      <c r="I123" s="245">
        <f t="shared" si="37"/>
        <v>-9.0000000000000011E-2</v>
      </c>
      <c r="J123" s="245">
        <f t="shared" si="37"/>
        <v>-0.10999999999999999</v>
      </c>
      <c r="K123" s="245">
        <f t="shared" si="37"/>
        <v>-0.28000000000000003</v>
      </c>
      <c r="L123" s="245">
        <f t="shared" si="37"/>
        <v>8.0000000000000016E-2</v>
      </c>
      <c r="M123" s="264" t="s">
        <v>342</v>
      </c>
      <c r="N123" s="48"/>
      <c r="O123" s="48"/>
    </row>
    <row r="124" spans="1:15" ht="14.25" customHeight="1" x14ac:dyDescent="0.3">
      <c r="A124" s="36"/>
      <c r="B124" s="36" t="s">
        <v>343</v>
      </c>
      <c r="C124" s="36"/>
      <c r="D124" s="245">
        <f t="shared" ref="D124:L124" si="38">C83-D83</f>
        <v>-7.75</v>
      </c>
      <c r="E124" s="245">
        <f t="shared" si="38"/>
        <v>7.75</v>
      </c>
      <c r="F124" s="245">
        <f t="shared" si="38"/>
        <v>0</v>
      </c>
      <c r="G124" s="245">
        <f t="shared" si="38"/>
        <v>0</v>
      </c>
      <c r="H124" s="245">
        <f t="shared" si="38"/>
        <v>0</v>
      </c>
      <c r="I124" s="245">
        <f t="shared" si="38"/>
        <v>-119.06</v>
      </c>
      <c r="J124" s="245">
        <f t="shared" si="38"/>
        <v>-330.12</v>
      </c>
      <c r="K124" s="245">
        <f t="shared" si="38"/>
        <v>180.75</v>
      </c>
      <c r="L124" s="245">
        <f t="shared" si="38"/>
        <v>240.28</v>
      </c>
      <c r="M124" s="264" t="s">
        <v>344</v>
      </c>
      <c r="N124" s="48"/>
      <c r="O124" s="48"/>
    </row>
    <row r="125" spans="1:15" ht="14.25" customHeight="1" x14ac:dyDescent="0.3">
      <c r="A125" s="36"/>
      <c r="B125" s="36" t="s">
        <v>345</v>
      </c>
      <c r="C125" s="36"/>
      <c r="D125" s="245">
        <f t="shared" ref="D125:L125" si="39">C84-D84</f>
        <v>-104.75</v>
      </c>
      <c r="E125" s="245">
        <f t="shared" si="39"/>
        <v>5.4300000000000068</v>
      </c>
      <c r="F125" s="245">
        <f t="shared" si="39"/>
        <v>3.8599999999999994</v>
      </c>
      <c r="G125" s="245">
        <f t="shared" si="39"/>
        <v>3.0999999999999943</v>
      </c>
      <c r="H125" s="245">
        <f t="shared" si="39"/>
        <v>4.0900000000000034</v>
      </c>
      <c r="I125" s="245">
        <f t="shared" si="39"/>
        <v>99.02</v>
      </c>
      <c r="J125" s="245">
        <f t="shared" si="39"/>
        <v>3.8700000000000006</v>
      </c>
      <c r="K125" s="245">
        <f t="shared" si="39"/>
        <v>1.1099999999999999</v>
      </c>
      <c r="L125" s="245">
        <f t="shared" si="39"/>
        <v>-145.72999999999999</v>
      </c>
      <c r="M125" s="264" t="s">
        <v>346</v>
      </c>
      <c r="N125" s="48"/>
      <c r="O125" s="48"/>
    </row>
    <row r="126" spans="1:15" ht="14.25" customHeight="1" x14ac:dyDescent="0.3">
      <c r="A126" s="36"/>
      <c r="B126" s="36" t="s">
        <v>347</v>
      </c>
      <c r="C126" s="36"/>
      <c r="D126" s="245">
        <f t="shared" ref="D126:L126" si="40">C93-D93</f>
        <v>-25.75</v>
      </c>
      <c r="E126" s="245">
        <f t="shared" si="40"/>
        <v>-63.4</v>
      </c>
      <c r="F126" s="245">
        <f t="shared" si="40"/>
        <v>36.4</v>
      </c>
      <c r="G126" s="245">
        <f t="shared" si="40"/>
        <v>10.39</v>
      </c>
      <c r="H126" s="245">
        <f t="shared" si="40"/>
        <v>18.3</v>
      </c>
      <c r="I126" s="245">
        <f t="shared" si="40"/>
        <v>-5.0500000000000007</v>
      </c>
      <c r="J126" s="245">
        <f t="shared" si="40"/>
        <v>-33.029999999999994</v>
      </c>
      <c r="K126" s="245">
        <f t="shared" si="40"/>
        <v>-123.28</v>
      </c>
      <c r="L126" s="245">
        <f t="shared" si="40"/>
        <v>100.97</v>
      </c>
      <c r="M126" s="264"/>
      <c r="N126" s="48"/>
      <c r="O126" s="48" t="s">
        <v>348</v>
      </c>
    </row>
    <row r="127" spans="1:15" ht="14.25" customHeight="1" x14ac:dyDescent="0.3">
      <c r="A127" s="36"/>
      <c r="B127" s="275" t="s">
        <v>349</v>
      </c>
      <c r="C127" s="276"/>
      <c r="D127" s="265">
        <f t="shared" ref="D127:L127" si="41">SUM(D122:D126)</f>
        <v>-137.66999999999996</v>
      </c>
      <c r="E127" s="265">
        <f t="shared" si="41"/>
        <v>-145.36000000000001</v>
      </c>
      <c r="F127" s="265">
        <f t="shared" si="41"/>
        <v>23.600000000000019</v>
      </c>
      <c r="G127" s="265">
        <f t="shared" si="41"/>
        <v>-1.9100000000000517</v>
      </c>
      <c r="H127" s="265">
        <f t="shared" si="41"/>
        <v>9.3500000000000245</v>
      </c>
      <c r="I127" s="265">
        <f t="shared" si="41"/>
        <v>-47.010000000000019</v>
      </c>
      <c r="J127" s="265">
        <f t="shared" si="41"/>
        <v>-518.48</v>
      </c>
      <c r="K127" s="265">
        <f t="shared" si="41"/>
        <v>-224.39999999999992</v>
      </c>
      <c r="L127" s="265">
        <f t="shared" si="41"/>
        <v>92.649999999999977</v>
      </c>
      <c r="M127" s="277" t="s">
        <v>350</v>
      </c>
      <c r="N127" s="48"/>
      <c r="O127" s="48"/>
    </row>
    <row r="128" spans="1:15" ht="14.25" customHeight="1" x14ac:dyDescent="0.3">
      <c r="A128" s="36"/>
      <c r="B128" s="36"/>
      <c r="C128" s="36"/>
      <c r="D128" s="36"/>
      <c r="E128" s="36"/>
      <c r="F128" s="36"/>
      <c r="G128" s="36"/>
      <c r="H128" s="36"/>
      <c r="I128" s="36"/>
      <c r="J128" s="36"/>
      <c r="K128" s="36"/>
      <c r="L128" s="36"/>
      <c r="M128" s="111"/>
      <c r="N128" s="48"/>
      <c r="O128" s="48"/>
    </row>
    <row r="129" spans="1:15" ht="14.25" customHeight="1" x14ac:dyDescent="0.3">
      <c r="A129" s="36"/>
      <c r="B129" s="274" t="s">
        <v>351</v>
      </c>
      <c r="C129" s="36"/>
      <c r="D129" s="36"/>
      <c r="E129" s="36"/>
      <c r="F129" s="36"/>
      <c r="G129" s="36"/>
      <c r="H129" s="36"/>
      <c r="I129" s="36"/>
      <c r="J129" s="36"/>
      <c r="K129" s="36"/>
      <c r="L129" s="36"/>
      <c r="M129" s="111"/>
      <c r="N129" s="48"/>
      <c r="O129" s="48"/>
    </row>
    <row r="130" spans="1:15" ht="14.25" customHeight="1" x14ac:dyDescent="0.3">
      <c r="A130" s="36"/>
      <c r="B130" s="36"/>
      <c r="C130" s="36"/>
      <c r="D130" s="36"/>
      <c r="E130" s="36"/>
      <c r="F130" s="36"/>
      <c r="G130" s="36"/>
      <c r="H130" s="36"/>
      <c r="I130" s="36"/>
      <c r="J130" s="36"/>
      <c r="K130" s="36"/>
      <c r="L130" s="36"/>
      <c r="M130" s="111"/>
      <c r="N130" s="48"/>
      <c r="O130" s="48"/>
    </row>
    <row r="131" spans="1:15" ht="14.25" customHeight="1" x14ac:dyDescent="0.3">
      <c r="A131" s="36"/>
      <c r="B131" s="36" t="s">
        <v>352</v>
      </c>
      <c r="C131" s="36"/>
      <c r="D131" s="245">
        <f t="shared" ref="D131:L131" si="42">D53-C53</f>
        <v>49.999999999999986</v>
      </c>
      <c r="E131" s="245">
        <f t="shared" si="42"/>
        <v>0</v>
      </c>
      <c r="F131" s="245">
        <f t="shared" si="42"/>
        <v>0</v>
      </c>
      <c r="G131" s="245">
        <f t="shared" si="42"/>
        <v>0</v>
      </c>
      <c r="H131" s="245">
        <f t="shared" si="42"/>
        <v>-9.9999999999909051E-3</v>
      </c>
      <c r="I131" s="245">
        <f t="shared" si="42"/>
        <v>0</v>
      </c>
      <c r="J131" s="245">
        <f t="shared" si="42"/>
        <v>0</v>
      </c>
      <c r="K131" s="245">
        <f t="shared" si="42"/>
        <v>0</v>
      </c>
      <c r="L131" s="245">
        <f t="shared" si="42"/>
        <v>-6.8400000000000034</v>
      </c>
      <c r="M131" s="264" t="s">
        <v>353</v>
      </c>
      <c r="N131" s="48"/>
      <c r="O131" s="48"/>
    </row>
    <row r="132" spans="1:15" ht="14.25" customHeight="1" x14ac:dyDescent="0.3">
      <c r="A132" s="36"/>
      <c r="B132" s="36" t="s">
        <v>354</v>
      </c>
      <c r="C132" s="36"/>
      <c r="D132" s="245">
        <f t="shared" ref="D132:L132" si="43">D60-C60</f>
        <v>488.17</v>
      </c>
      <c r="E132" s="245">
        <f t="shared" si="43"/>
        <v>7.3499999999999659</v>
      </c>
      <c r="F132" s="245">
        <f t="shared" si="43"/>
        <v>-87.46999999999997</v>
      </c>
      <c r="G132" s="245">
        <f t="shared" si="43"/>
        <v>-16.54000000000002</v>
      </c>
      <c r="H132" s="245">
        <f t="shared" si="43"/>
        <v>-3.7099999999999795</v>
      </c>
      <c r="I132" s="245">
        <f t="shared" si="43"/>
        <v>114.43</v>
      </c>
      <c r="J132" s="245">
        <f t="shared" si="43"/>
        <v>-178.20000000000005</v>
      </c>
      <c r="K132" s="245">
        <f t="shared" si="43"/>
        <v>-18.779999999999973</v>
      </c>
      <c r="L132" s="245">
        <f t="shared" si="43"/>
        <v>-25.670000000000016</v>
      </c>
      <c r="M132" s="264" t="s">
        <v>355</v>
      </c>
      <c r="N132" s="48"/>
      <c r="O132" s="48"/>
    </row>
    <row r="133" spans="1:15" ht="14.25" customHeight="1" x14ac:dyDescent="0.3">
      <c r="A133" s="36"/>
      <c r="B133" s="36" t="s">
        <v>356</v>
      </c>
      <c r="C133" s="36"/>
      <c r="D133" s="245">
        <f t="shared" ref="D133:L133" si="44">D67-C67</f>
        <v>77.77</v>
      </c>
      <c r="E133" s="245">
        <f t="shared" si="44"/>
        <v>-81.78</v>
      </c>
      <c r="F133" s="245">
        <f t="shared" si="44"/>
        <v>0</v>
      </c>
      <c r="G133" s="245">
        <f t="shared" si="44"/>
        <v>0</v>
      </c>
      <c r="H133" s="245">
        <f t="shared" si="44"/>
        <v>0</v>
      </c>
      <c r="I133" s="245">
        <f t="shared" si="44"/>
        <v>4.28</v>
      </c>
      <c r="J133" s="245">
        <f t="shared" si="44"/>
        <v>29.369999999999997</v>
      </c>
      <c r="K133" s="245">
        <f t="shared" si="44"/>
        <v>-32.839999999999996</v>
      </c>
      <c r="L133" s="245">
        <f t="shared" si="44"/>
        <v>108.19</v>
      </c>
      <c r="M133" s="264" t="s">
        <v>357</v>
      </c>
      <c r="N133" s="48"/>
      <c r="O133" s="48"/>
    </row>
    <row r="134" spans="1:15" ht="14.25" customHeight="1" x14ac:dyDescent="0.3">
      <c r="A134" s="36"/>
      <c r="B134" s="36" t="s">
        <v>358</v>
      </c>
      <c r="C134" s="36"/>
      <c r="D134" s="245">
        <f t="shared" ref="D134:L134" si="45">-(D42-(D54-C54))</f>
        <v>-27.179999999999936</v>
      </c>
      <c r="E134" s="245">
        <f t="shared" si="45"/>
        <v>61.979999999999961</v>
      </c>
      <c r="F134" s="245">
        <f t="shared" si="45"/>
        <v>1.9999999999953388E-2</v>
      </c>
      <c r="G134" s="245">
        <f t="shared" si="45"/>
        <v>-6.0000000000048459E-2</v>
      </c>
      <c r="H134" s="245">
        <f t="shared" si="45"/>
        <v>-2.0000000000003126E-2</v>
      </c>
      <c r="I134" s="245">
        <f t="shared" si="45"/>
        <v>-4.0000000000276259E-2</v>
      </c>
      <c r="J134" s="245">
        <f t="shared" si="45"/>
        <v>-7.0000000000362661E-2</v>
      </c>
      <c r="K134" s="245">
        <f t="shared" si="45"/>
        <v>-4.999999999969873E-2</v>
      </c>
      <c r="L134" s="245">
        <f t="shared" si="45"/>
        <v>-151.19000000000017</v>
      </c>
      <c r="M134" s="264" t="s">
        <v>359</v>
      </c>
      <c r="N134" s="48"/>
      <c r="O134" s="48"/>
    </row>
    <row r="135" spans="1:15" ht="14.25" customHeight="1" x14ac:dyDescent="0.3">
      <c r="A135" s="36"/>
      <c r="B135" s="36"/>
      <c r="C135" s="36"/>
      <c r="D135" s="36"/>
      <c r="E135" s="36"/>
      <c r="F135" s="36"/>
      <c r="G135" s="36"/>
      <c r="H135" s="36"/>
      <c r="I135" s="36"/>
      <c r="J135" s="36"/>
      <c r="K135" s="36"/>
      <c r="L135" s="36"/>
      <c r="M135" s="111"/>
      <c r="N135" s="48"/>
      <c r="O135" s="48"/>
    </row>
    <row r="136" spans="1:15" ht="14.25" customHeight="1" x14ac:dyDescent="0.3">
      <c r="A136" s="36"/>
      <c r="B136" s="275" t="s">
        <v>360</v>
      </c>
      <c r="C136" s="276"/>
      <c r="D136" s="265">
        <f t="shared" ref="D136:L136" si="46">SUM(D131:D134)</f>
        <v>588.76</v>
      </c>
      <c r="E136" s="265">
        <f t="shared" si="46"/>
        <v>-12.450000000000074</v>
      </c>
      <c r="F136" s="265">
        <f t="shared" si="46"/>
        <v>-87.450000000000017</v>
      </c>
      <c r="G136" s="265">
        <f t="shared" si="46"/>
        <v>-16.600000000000069</v>
      </c>
      <c r="H136" s="265">
        <f t="shared" si="46"/>
        <v>-3.7399999999999736</v>
      </c>
      <c r="I136" s="265">
        <f t="shared" si="46"/>
        <v>118.66999999999973</v>
      </c>
      <c r="J136" s="265">
        <f t="shared" si="46"/>
        <v>-148.9000000000004</v>
      </c>
      <c r="K136" s="265">
        <f t="shared" si="46"/>
        <v>-51.669999999999668</v>
      </c>
      <c r="L136" s="265">
        <f t="shared" si="46"/>
        <v>-75.51000000000019</v>
      </c>
      <c r="M136" s="277" t="s">
        <v>361</v>
      </c>
      <c r="N136" s="48"/>
      <c r="O136" s="48"/>
    </row>
    <row r="137" spans="1:15" ht="14.25" customHeight="1" x14ac:dyDescent="0.3">
      <c r="A137" s="36"/>
      <c r="B137" s="36"/>
      <c r="C137" s="36"/>
      <c r="D137" s="36"/>
      <c r="E137" s="36"/>
      <c r="F137" s="36"/>
      <c r="G137" s="36"/>
      <c r="H137" s="36"/>
      <c r="I137" s="36"/>
      <c r="J137" s="36"/>
      <c r="K137" s="36"/>
      <c r="L137" s="36"/>
      <c r="M137" s="111"/>
      <c r="N137" s="48"/>
      <c r="O137" s="48"/>
    </row>
    <row r="138" spans="1:15" ht="14.25" customHeight="1" x14ac:dyDescent="0.3">
      <c r="A138" s="36"/>
      <c r="B138" s="275" t="s">
        <v>362</v>
      </c>
      <c r="C138" s="276"/>
      <c r="D138" s="265">
        <f t="shared" ref="D138:L138" si="47">D118+D127+D136</f>
        <v>11.869999999999891</v>
      </c>
      <c r="E138" s="265">
        <f t="shared" si="47"/>
        <v>34.639999999999986</v>
      </c>
      <c r="F138" s="265">
        <f t="shared" si="47"/>
        <v>-21.359999999999957</v>
      </c>
      <c r="G138" s="265">
        <f t="shared" si="47"/>
        <v>-6.270000000000076</v>
      </c>
      <c r="H138" s="265">
        <f t="shared" si="47"/>
        <v>29.600000000000087</v>
      </c>
      <c r="I138" s="265">
        <f t="shared" si="47"/>
        <v>199.66999999999996</v>
      </c>
      <c r="J138" s="265">
        <f t="shared" si="47"/>
        <v>-237.04999999999987</v>
      </c>
      <c r="K138" s="265">
        <f t="shared" si="47"/>
        <v>63.660000000000203</v>
      </c>
      <c r="L138" s="265">
        <f t="shared" si="47"/>
        <v>135.37999999999988</v>
      </c>
      <c r="M138" s="277" t="s">
        <v>363</v>
      </c>
      <c r="N138" s="48"/>
      <c r="O138" s="48"/>
    </row>
    <row r="139" spans="1:15" ht="14.25" customHeight="1" x14ac:dyDescent="0.3">
      <c r="A139" s="36"/>
      <c r="B139" s="36"/>
      <c r="C139" s="36"/>
      <c r="D139" s="36"/>
      <c r="E139" s="36"/>
      <c r="F139" s="36"/>
      <c r="G139" s="36"/>
      <c r="H139" s="36"/>
      <c r="I139" s="36"/>
      <c r="J139" s="36"/>
      <c r="K139" s="36"/>
      <c r="L139" s="36"/>
      <c r="M139" s="111"/>
      <c r="N139" s="48"/>
      <c r="O139" s="48"/>
    </row>
    <row r="140" spans="1:15" ht="14.25" customHeight="1" x14ac:dyDescent="0.3">
      <c r="A140" s="36"/>
      <c r="B140" s="36" t="s">
        <v>364</v>
      </c>
      <c r="C140" s="36"/>
      <c r="D140" s="245">
        <f t="shared" ref="D140:L140" si="48">C91</f>
        <v>0.04</v>
      </c>
      <c r="E140" s="245">
        <f t="shared" si="48"/>
        <v>11.91</v>
      </c>
      <c r="F140" s="245">
        <f t="shared" si="48"/>
        <v>46.55</v>
      </c>
      <c r="G140" s="245">
        <f t="shared" si="48"/>
        <v>25.19</v>
      </c>
      <c r="H140" s="245">
        <f t="shared" si="48"/>
        <v>18.920000000000002</v>
      </c>
      <c r="I140" s="245">
        <f t="shared" si="48"/>
        <v>48.52</v>
      </c>
      <c r="J140" s="245">
        <f t="shared" si="48"/>
        <v>248.19</v>
      </c>
      <c r="K140" s="245">
        <f t="shared" si="48"/>
        <v>11.14</v>
      </c>
      <c r="L140" s="245">
        <f t="shared" si="48"/>
        <v>74.8</v>
      </c>
      <c r="M140" s="264" t="s">
        <v>365</v>
      </c>
      <c r="N140" s="48"/>
      <c r="O140" s="48"/>
    </row>
    <row r="141" spans="1:15" ht="14.25" customHeight="1" x14ac:dyDescent="0.3">
      <c r="A141" s="36"/>
      <c r="B141" s="278" t="s">
        <v>366</v>
      </c>
      <c r="C141" s="278"/>
      <c r="D141" s="279">
        <f t="shared" ref="D141:L141" si="49">D140+D138</f>
        <v>11.90999999999989</v>
      </c>
      <c r="E141" s="279">
        <f t="shared" si="49"/>
        <v>46.549999999999983</v>
      </c>
      <c r="F141" s="279">
        <f t="shared" si="49"/>
        <v>25.19000000000004</v>
      </c>
      <c r="G141" s="279">
        <f t="shared" si="49"/>
        <v>18.919999999999924</v>
      </c>
      <c r="H141" s="279">
        <f t="shared" si="49"/>
        <v>48.520000000000088</v>
      </c>
      <c r="I141" s="279">
        <f t="shared" si="49"/>
        <v>248.18999999999997</v>
      </c>
      <c r="J141" s="279">
        <f t="shared" si="49"/>
        <v>11.140000000000128</v>
      </c>
      <c r="K141" s="279">
        <f t="shared" si="49"/>
        <v>74.80000000000021</v>
      </c>
      <c r="L141" s="279">
        <f t="shared" si="49"/>
        <v>210.17999999999989</v>
      </c>
      <c r="M141" s="264" t="s">
        <v>367</v>
      </c>
      <c r="N141" s="48"/>
      <c r="O141" s="48"/>
    </row>
    <row r="142" spans="1:15" ht="14.25" customHeight="1" x14ac:dyDescent="0.3">
      <c r="A142" s="36"/>
      <c r="B142" s="36"/>
      <c r="C142" s="36"/>
      <c r="D142" s="36"/>
      <c r="E142" s="36"/>
      <c r="F142" s="36"/>
      <c r="G142" s="36"/>
      <c r="H142" s="36"/>
      <c r="I142" s="36"/>
      <c r="J142" s="36"/>
      <c r="K142" s="36"/>
      <c r="L142" s="36"/>
      <c r="M142" s="111"/>
      <c r="N142" s="48"/>
      <c r="O142" s="48"/>
    </row>
    <row r="143" spans="1:15" ht="14.25" customHeight="1" x14ac:dyDescent="0.3">
      <c r="A143" s="36"/>
      <c r="B143" s="162" t="s">
        <v>368</v>
      </c>
      <c r="C143" s="36"/>
      <c r="D143" s="280" t="str">
        <f t="shared" ref="D143:L143" si="50">IFERROR(IF(ROUND(D141-D91,2)=0,"Match",ROUND(D141-D91,2)),"Error")</f>
        <v>Match</v>
      </c>
      <c r="E143" s="280" t="str">
        <f t="shared" si="50"/>
        <v>Match</v>
      </c>
      <c r="F143" s="280" t="str">
        <f t="shared" si="50"/>
        <v>Match</v>
      </c>
      <c r="G143" s="280" t="str">
        <f t="shared" si="50"/>
        <v>Match</v>
      </c>
      <c r="H143" s="280" t="str">
        <f t="shared" si="50"/>
        <v>Match</v>
      </c>
      <c r="I143" s="280" t="str">
        <f t="shared" si="50"/>
        <v>Match</v>
      </c>
      <c r="J143" s="280" t="str">
        <f t="shared" si="50"/>
        <v>Match</v>
      </c>
      <c r="K143" s="280" t="str">
        <f t="shared" si="50"/>
        <v>Match</v>
      </c>
      <c r="L143" s="280" t="str">
        <f t="shared" si="50"/>
        <v>Match</v>
      </c>
      <c r="M143" s="277" t="s">
        <v>369</v>
      </c>
      <c r="N143" s="48"/>
      <c r="O143" s="48"/>
    </row>
  </sheetData>
  <mergeCells count="4">
    <mergeCell ref="B2:L2"/>
    <mergeCell ref="B4:L4"/>
    <mergeCell ref="B47:L47"/>
    <mergeCell ref="B102:L102"/>
  </mergeCells>
  <conditionalFormatting sqref="C98:K98">
    <cfRule type="cellIs" dxfId="11" priority="6" operator="equal">
      <formula>"Match"</formula>
    </cfRule>
    <cfRule type="cellIs" dxfId="10" priority="7" operator="notEqual">
      <formula>"Match"</formula>
    </cfRule>
  </conditionalFormatting>
  <conditionalFormatting sqref="C100:K100">
    <cfRule type="cellIs" dxfId="9" priority="2" operator="equal">
      <formula>"Match"</formula>
    </cfRule>
    <cfRule type="cellIs" dxfId="8" priority="3" operator="notEqual">
      <formula>"Match"</formula>
    </cfRule>
  </conditionalFormatting>
  <conditionalFormatting sqref="C45:L45">
    <cfRule type="containsText" dxfId="7" priority="4" operator="containsText" text="✓">
      <formula>NOT(ISERROR(SEARCH("✓",C45)))</formula>
    </cfRule>
    <cfRule type="containsText" dxfId="6" priority="5" operator="containsText" text="✗">
      <formula>NOT(ISERROR(SEARCH("✗",C45)))</formula>
    </cfRule>
  </conditionalFormatting>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W53"/>
  <sheetViews>
    <sheetView showGridLines="0" topLeftCell="S1" zoomScale="87" zoomScaleNormal="97" workbookViewId="0">
      <pane ySplit="3" topLeftCell="A46" activePane="bottomLeft" state="frozen"/>
      <selection pane="bottomLeft" activeCell="L45" sqref="L45"/>
    </sheetView>
  </sheetViews>
  <sheetFormatPr defaultColWidth="8.6640625" defaultRowHeight="14.4" x14ac:dyDescent="0.3"/>
  <cols>
    <col min="1" max="1" width="2.77734375" customWidth="1"/>
    <col min="2" max="2" width="40.77734375" customWidth="1"/>
    <col min="3" max="11" width="13.88671875" customWidth="1"/>
    <col min="12" max="12" width="14" customWidth="1"/>
    <col min="13" max="13" width="22.21875" customWidth="1"/>
    <col min="14" max="21" width="14" customWidth="1"/>
    <col min="22" max="22" width="41" customWidth="1"/>
    <col min="23" max="23" width="64.77734375" customWidth="1"/>
  </cols>
  <sheetData>
    <row r="1" spans="1:23" ht="24" customHeight="1" x14ac:dyDescent="0.3">
      <c r="A1" s="1"/>
      <c r="B1" s="2"/>
      <c r="C1" s="2"/>
      <c r="D1" s="2"/>
      <c r="E1" s="2"/>
      <c r="F1" s="2"/>
      <c r="G1" s="2"/>
      <c r="H1" s="2"/>
      <c r="I1" s="2"/>
      <c r="J1" s="2"/>
      <c r="K1" s="2"/>
      <c r="L1" s="2"/>
      <c r="M1" s="2"/>
      <c r="N1" s="2"/>
      <c r="O1" s="2"/>
      <c r="P1" s="2"/>
      <c r="Q1" s="2"/>
      <c r="R1" s="2"/>
      <c r="S1" s="2"/>
      <c r="T1" s="2"/>
      <c r="U1" s="2"/>
      <c r="V1" s="2"/>
      <c r="W1" s="2"/>
    </row>
    <row r="2" spans="1:23" ht="18" customHeight="1" x14ac:dyDescent="0.3">
      <c r="A2" s="2"/>
      <c r="B2" s="897" t="str">
        <f>"Ratio Analysis - "&amp;'Executive Summary'!B2</f>
        <v>Ratio Analysis - Jindal Coke Ltd.</v>
      </c>
      <c r="C2" s="897"/>
      <c r="D2" s="897"/>
      <c r="E2" s="897"/>
      <c r="F2" s="897"/>
      <c r="G2" s="897"/>
      <c r="H2" s="897"/>
      <c r="I2" s="897"/>
      <c r="J2" s="897"/>
      <c r="K2" s="897"/>
      <c r="L2" s="897"/>
      <c r="M2" s="897"/>
      <c r="N2" s="897"/>
      <c r="O2" s="897"/>
      <c r="P2" s="897"/>
      <c r="Q2" s="897"/>
      <c r="R2" s="897"/>
      <c r="S2" s="897"/>
      <c r="T2" s="897"/>
      <c r="U2" s="897"/>
      <c r="V2" s="897"/>
      <c r="W2" s="897"/>
    </row>
    <row r="3" spans="1:23" ht="14.25" customHeight="1" x14ac:dyDescent="0.3">
      <c r="A3" s="2"/>
      <c r="B3" s="242" t="str">
        <f>'Historical FS'!B3</f>
        <v>Years</v>
      </c>
      <c r="C3" s="243" t="str">
        <f>'Historical FS'!C3</f>
        <v>FY16A</v>
      </c>
      <c r="D3" s="243" t="str">
        <f>'Historical FS'!D3</f>
        <v>FY17A</v>
      </c>
      <c r="E3" s="243" t="str">
        <f>'Historical FS'!E3</f>
        <v>FY18A</v>
      </c>
      <c r="F3" s="243" t="str">
        <f>'Historical FS'!F3</f>
        <v>FY19A</v>
      </c>
      <c r="G3" s="243" t="str">
        <f>'Historical FS'!G3</f>
        <v>FY20A</v>
      </c>
      <c r="H3" s="243" t="str">
        <f>'Historical FS'!H3</f>
        <v>FY21A</v>
      </c>
      <c r="I3" s="243" t="str">
        <f>'Historical FS'!I3</f>
        <v>FY22A</v>
      </c>
      <c r="J3" s="243" t="str">
        <f>'Historical FS'!J3</f>
        <v>FY23A</v>
      </c>
      <c r="K3" s="243" t="str">
        <f>'Historical FS'!K3</f>
        <v>FY24A</v>
      </c>
      <c r="L3" s="243" t="str">
        <f>'Historical FS'!L3</f>
        <v>FY25A</v>
      </c>
      <c r="M3" s="77" t="s">
        <v>370</v>
      </c>
      <c r="N3" s="77" t="s">
        <v>146</v>
      </c>
      <c r="O3" s="77" t="s">
        <v>147</v>
      </c>
      <c r="P3" s="77" t="s">
        <v>148</v>
      </c>
      <c r="Q3" s="77" t="s">
        <v>149</v>
      </c>
      <c r="R3" s="77" t="s">
        <v>1143</v>
      </c>
      <c r="S3" s="77" t="s">
        <v>1144</v>
      </c>
      <c r="T3" s="77" t="s">
        <v>1145</v>
      </c>
      <c r="U3" s="77" t="s">
        <v>1146</v>
      </c>
      <c r="V3" s="77" t="s">
        <v>213</v>
      </c>
      <c r="W3" s="77" t="s">
        <v>371</v>
      </c>
    </row>
    <row r="4" spans="1:23" ht="14.25" customHeight="1" x14ac:dyDescent="0.3">
      <c r="A4" s="2"/>
      <c r="B4" s="36"/>
      <c r="C4" s="36"/>
      <c r="D4" s="36"/>
      <c r="E4" s="36"/>
      <c r="F4" s="36"/>
      <c r="G4" s="36"/>
      <c r="H4" s="36"/>
      <c r="I4" s="36"/>
      <c r="J4" s="36"/>
      <c r="K4" s="36"/>
      <c r="L4" s="36"/>
      <c r="M4" s="36"/>
      <c r="N4" s="36"/>
      <c r="O4" s="36"/>
      <c r="P4" s="36"/>
      <c r="Q4" s="36"/>
      <c r="R4" s="36"/>
      <c r="S4" s="36"/>
      <c r="T4" s="36"/>
      <c r="U4" s="36"/>
      <c r="V4" s="36"/>
      <c r="W4" s="36"/>
    </row>
    <row r="5" spans="1:23" ht="14.25" customHeight="1" x14ac:dyDescent="0.3">
      <c r="A5" s="2"/>
      <c r="B5" s="244" t="s">
        <v>372</v>
      </c>
      <c r="C5" s="244"/>
      <c r="D5" s="244"/>
      <c r="E5" s="244"/>
      <c r="F5" s="244"/>
      <c r="G5" s="244"/>
      <c r="H5" s="244"/>
      <c r="I5" s="244"/>
      <c r="J5" s="244"/>
      <c r="K5" s="244"/>
      <c r="L5" s="244"/>
      <c r="M5" s="114"/>
      <c r="N5" s="244"/>
      <c r="O5" s="244"/>
      <c r="P5" s="244"/>
      <c r="Q5" s="33"/>
      <c r="R5" s="33"/>
      <c r="S5" s="33"/>
      <c r="T5" s="33"/>
      <c r="U5" s="33"/>
      <c r="V5" s="114"/>
      <c r="W5" s="114"/>
    </row>
    <row r="6" spans="1:23" ht="64.5" customHeight="1" x14ac:dyDescent="0.3">
      <c r="A6" s="2"/>
      <c r="B6" s="281" t="s">
        <v>217</v>
      </c>
      <c r="C6" s="282" t="str">
        <f>IFERROR('Historical FS'!C6,0)</f>
        <v>-</v>
      </c>
      <c r="D6" s="282">
        <f>IFERROR('Historical FS'!D6,0)</f>
        <v>0.83232847652542863</v>
      </c>
      <c r="E6" s="282">
        <f>IFERROR('Historical FS'!E6,0)</f>
        <v>0.35297433163226422</v>
      </c>
      <c r="F6" s="282">
        <f>IFERROR('Historical FS'!F6,0)</f>
        <v>5.5125202666186368E-2</v>
      </c>
      <c r="G6" s="282">
        <f>IFERROR('Historical FS'!G6,0)</f>
        <v>-0.18715852825678669</v>
      </c>
      <c r="H6" s="282">
        <f>IFERROR('Historical FS'!H6,0)</f>
        <v>2.2186338991507792E-3</v>
      </c>
      <c r="I6" s="282">
        <f>IFERROR('Historical FS'!I6,0)</f>
        <v>0.62696811715700407</v>
      </c>
      <c r="J6" s="282">
        <f>IFERROR('Historical FS'!J6,0)</f>
        <v>0.60470508671078682</v>
      </c>
      <c r="K6" s="282">
        <f>IFERROR('Historical FS'!K6,0)</f>
        <v>-0.21089336423934091</v>
      </c>
      <c r="L6" s="282">
        <f>IFERROR('Historical FS'!L6,0)</f>
        <v>0.18980798575788405</v>
      </c>
      <c r="M6" s="283"/>
      <c r="N6" s="284">
        <f>IFERROR(('The 3-Statement Projection'!D6/'The 3-Statement Projection'!C6)-1,0)</f>
        <v>0.11210268449327021</v>
      </c>
      <c r="O6" s="284">
        <f>IFERROR(('The 3-Statement Projection'!E6/'The 3-Statement Projection'!D6)-1,0)</f>
        <v>5.5018676844396985E-2</v>
      </c>
      <c r="P6" s="284">
        <f>IFERROR(('The 3-Statement Projection'!F6/'The 3-Statement Projection'!E6)-1,0)</f>
        <v>0</v>
      </c>
      <c r="Q6" s="284">
        <f>IFERROR(('The 3-Statement Projection'!G6/'The 3-Statement Projection'!F6)-1,0)</f>
        <v>0</v>
      </c>
      <c r="R6" s="284">
        <f>IFERROR(('The 3-Statement Projection'!H6/'The 3-Statement Projection'!G6)-1,0)</f>
        <v>0</v>
      </c>
      <c r="S6" s="284">
        <f>IFERROR(('The 3-Statement Projection'!I6/'The 3-Statement Projection'!H6)-1,0)</f>
        <v>0</v>
      </c>
      <c r="T6" s="284">
        <f>IFERROR(('The 3-Statement Projection'!J6/'The 3-Statement Projection'!I6)-1,0)</f>
        <v>0</v>
      </c>
      <c r="U6" s="284">
        <f>IFERROR(('The 3-Statement Projection'!K6/'The 3-Statement Projection'!J6)-1,0)</f>
        <v>0</v>
      </c>
      <c r="V6" s="285" t="s">
        <v>373</v>
      </c>
      <c r="W6" s="286" t="s">
        <v>1365</v>
      </c>
    </row>
    <row r="7" spans="1:23" ht="64.5" customHeight="1" x14ac:dyDescent="0.3">
      <c r="A7" s="2"/>
      <c r="B7" s="281" t="s">
        <v>374</v>
      </c>
      <c r="C7" s="282" t="s">
        <v>218</v>
      </c>
      <c r="D7" s="282" t="str">
        <f>IF(OR('Historical FS'!C20&lt;=0,'Historical FS'!D20&lt;=0),"N/M",'Historical FS'!D20/'Historical FS'!C20 -1)</f>
        <v>N/M</v>
      </c>
      <c r="E7" s="282">
        <f>IF(OR('Historical FS'!D20&lt;=0,'Historical FS'!E20&lt;=0),"N/M",'Historical FS'!E20/'Historical FS'!D20 -1)</f>
        <v>0.48681930128614548</v>
      </c>
      <c r="F7" s="282">
        <f>IF(OR('Historical FS'!E20&lt;=0,'Historical FS'!F20&lt;=0),"N/M",'Historical FS'!F20/'Historical FS'!E20 -1)</f>
        <v>-0.19429447852760728</v>
      </c>
      <c r="G7" s="282">
        <f>IF(OR('Historical FS'!F20&lt;=0,'Historical FS'!G20&lt;=0),"N/M",'Historical FS'!G20/'Historical FS'!F20 -1)</f>
        <v>-0.6131881519835527</v>
      </c>
      <c r="H7" s="282">
        <f>IF(OR('Historical FS'!G20&lt;=0,'Historical FS'!H20&lt;=0),"N/M",'Historical FS'!H20/'Historical FS'!G20 -1)</f>
        <v>1.9053149606299193</v>
      </c>
      <c r="I7" s="282">
        <f>IF(OR('Historical FS'!H20&lt;=0,'Historical FS'!I20&lt;=0),"N/M",'Historical FS'!I20/'Historical FS'!H20 -1)</f>
        <v>1.5503760417372456</v>
      </c>
      <c r="J7" s="282">
        <f>IFERROR('Historical FS'!J20/'Historical FS'!I20 -1,0)</f>
        <v>-0.30944980207752126</v>
      </c>
      <c r="K7" s="282">
        <f>IFERROR('Historical FS'!K20/'Historical FS'!J20 -1,0)</f>
        <v>-0.37367752856538483</v>
      </c>
      <c r="L7" s="282">
        <f>IFERROR('Historical FS'!L20/'Historical FS'!K20 -1,0)</f>
        <v>0.23120393120393401</v>
      </c>
      <c r="M7" s="283"/>
      <c r="N7" s="284">
        <f>IFERROR('The 3-Statement Projection'!D15/'The 3-Statement Projection'!C15-1,0)</f>
        <v>0.89455919644949544</v>
      </c>
      <c r="O7" s="284">
        <f>IFERROR('The 3-Statement Projection'!E15/'The 3-Statement Projection'!D15-1,0)</f>
        <v>-5.1388042798438782E-2</v>
      </c>
      <c r="P7" s="284">
        <f>IFERROR('The 3-Statement Projection'!F15/'The 3-Statement Projection'!E15-1,0)</f>
        <v>1.2190015124049491E-2</v>
      </c>
      <c r="Q7" s="284">
        <f>IFERROR('The 3-Statement Projection'!G15/'The 3-Statement Projection'!F15-1,0)</f>
        <v>1.2043208233541103E-2</v>
      </c>
      <c r="R7" s="284">
        <f>IFERROR('The 3-Statement Projection'!H15/'The 3-Statement Projection'!G15-1,0)</f>
        <v>0</v>
      </c>
      <c r="S7" s="284">
        <f>IFERROR('The 3-Statement Projection'!I15/'The 3-Statement Projection'!H15-1,0)</f>
        <v>0</v>
      </c>
      <c r="T7" s="284">
        <f>IFERROR('The 3-Statement Projection'!J15/'The 3-Statement Projection'!I15-1,0)</f>
        <v>0</v>
      </c>
      <c r="U7" s="284">
        <f>IFERROR('The 3-Statement Projection'!K15/'The 3-Statement Projection'!J15-1,0)</f>
        <v>0</v>
      </c>
      <c r="V7" s="285" t="s">
        <v>375</v>
      </c>
      <c r="W7" s="286" t="s">
        <v>1366</v>
      </c>
    </row>
    <row r="8" spans="1:23" ht="64.5" customHeight="1" x14ac:dyDescent="0.3">
      <c r="A8" s="2"/>
      <c r="B8" s="281" t="s">
        <v>376</v>
      </c>
      <c r="C8" s="282" t="s">
        <v>218</v>
      </c>
      <c r="D8" s="282" t="str">
        <f>IF(OR('Historical FS'!C26&lt;=0,'Historical FS'!D26&lt;=0),"N/M",'Historical FS'!D26/'Historical FS'!C26 -1)</f>
        <v>N/M</v>
      </c>
      <c r="E8" s="282">
        <f>IF(OR('Historical FS'!D26&lt;=0,'Historical FS'!E26&lt;=0),"N/M",'Historical FS'!E26/'Historical FS'!D26 -1)</f>
        <v>0.69024785153817603</v>
      </c>
      <c r="F8" s="282">
        <f>IF(OR('Historical FS'!E26&lt;=0,'Historical FS'!F26&lt;=0),"N/M",'Historical FS'!F26/'Historical FS'!E26 -1)</f>
        <v>-0.15923660747181489</v>
      </c>
      <c r="G8" s="282">
        <f>IF(OR('Historical FS'!F26&lt;=0,'Historical FS'!G26&lt;=0),"N/M",'Historical FS'!G26/'Historical FS'!F26 -1)</f>
        <v>-0.71218229623137574</v>
      </c>
      <c r="H8" s="282">
        <f>IF(OR('Historical FS'!G26&lt;=0,'Historical FS'!H26&lt;=0),"N/M",'Historical FS'!H26/'Historical FS'!G26 -1)</f>
        <v>2.8855054811205805</v>
      </c>
      <c r="I8" s="282">
        <f>IF(OR('Historical FS'!H26&lt;=0,'Historical FS'!I26&lt;=0),"N/M",'Historical FS'!I26/'Historical FS'!H26 -1)</f>
        <v>1.7836990595611293</v>
      </c>
      <c r="J8" s="282">
        <f>IFERROR('Historical FS'!J26/'Historical FS'!I26 -1,0)</f>
        <v>-0.32860360360360297</v>
      </c>
      <c r="K8" s="282">
        <f>IFERROR('Historical FS'!K26/'Historical FS'!J26 -1,0)</f>
        <v>-0.40586212680308831</v>
      </c>
      <c r="L8" s="282">
        <f>IFERROR('Historical FS'!L26/'Historical FS'!K26 -1,0)</f>
        <v>0.1959912485002504</v>
      </c>
      <c r="M8" s="283"/>
      <c r="N8" s="284">
        <f>IFERROR('The 3-Statement Projection'!D19/'The 3-Statement Projection'!C19-1,0)</f>
        <v>0.97114355901886484</v>
      </c>
      <c r="O8" s="284">
        <f>IFERROR('The 3-Statement Projection'!E19/'The 3-Statement Projection'!D19-1,0)</f>
        <v>-6.2087675488647576E-2</v>
      </c>
      <c r="P8" s="284">
        <f>IFERROR('The 3-Statement Projection'!F19/'The 3-Statement Projection'!E19-1,0)</f>
        <v>1.0009333963620692E-2</v>
      </c>
      <c r="Q8" s="284">
        <f>IFERROR('The 3-Statement Projection'!G19/'The 3-Statement Projection'!F19-1,0)</f>
        <v>9.8109551934115746E-3</v>
      </c>
      <c r="R8" s="284">
        <f>IFERROR('The 3-Statement Projection'!H19/'The 3-Statement Projection'!G19-1,0)</f>
        <v>-4.1277469666544109E-3</v>
      </c>
      <c r="S8" s="284">
        <f>IFERROR('The 3-Statement Projection'!I19/'The 3-Statement Projection'!H19-1,0)</f>
        <v>-4.2484772800259751E-3</v>
      </c>
      <c r="T8" s="284">
        <f>IFERROR('The 3-Statement Projection'!J19/'The 3-Statement Projection'!I19-1,0)</f>
        <v>-4.3732689457824936E-3</v>
      </c>
      <c r="U8" s="284">
        <f>IFERROR('The 3-Statement Projection'!K19/'The 3-Statement Projection'!J19-1,0)</f>
        <v>-4.5022903962015359E-3</v>
      </c>
      <c r="V8" s="285" t="s">
        <v>377</v>
      </c>
      <c r="W8" s="286" t="s">
        <v>1367</v>
      </c>
    </row>
    <row r="9" spans="1:23" ht="64.5" customHeight="1" x14ac:dyDescent="0.3">
      <c r="A9" s="2"/>
      <c r="B9" s="281" t="s">
        <v>378</v>
      </c>
      <c r="C9" s="282" t="s">
        <v>218</v>
      </c>
      <c r="D9" s="282" t="str">
        <f>IF(OR('Historical FS'!C42&lt;=0,'Historical FS'!D42&lt;=0),"N/M",'Historical FS'!D42/'Historical FS'!C42 -1)</f>
        <v>N/M</v>
      </c>
      <c r="E9" s="282">
        <f>IF(OR('Historical FS'!D42&lt;=0,'Historical FS'!E42&lt;=0),"N/M",'Historical FS'!E42/'Historical FS'!D42 -1)</f>
        <v>1.3653289201489529</v>
      </c>
      <c r="F9" s="282">
        <f>IF(OR('Historical FS'!E42&lt;=0,'Historical FS'!F42&lt;=0),"N/M",'Historical FS'!F42/'Historical FS'!E42 -1)</f>
        <v>-0.29840825607836263</v>
      </c>
      <c r="G9" s="282" t="str">
        <f>IF(OR('Historical FS'!F42&lt;=0,'Historical FS'!G42&lt;=0),"N/M",'Historical FS'!G42/'Historical FS'!F42 -1)</f>
        <v>N/M</v>
      </c>
      <c r="H9" s="282" t="str">
        <f>IF(OR('Historical FS'!G42&lt;=0,'Historical FS'!H42&lt;=0),"N/M",'Historical FS'!H42/'Historical FS'!G42 -1)</f>
        <v>N/M</v>
      </c>
      <c r="I9" s="282">
        <f>IF(OR('Historical FS'!H42&lt;=0,'Historical FS'!I42&lt;=0),"N/M",'Historical FS'!I42/'Historical FS'!H42 -1)</f>
        <v>3.127376425855517</v>
      </c>
      <c r="J9" s="282">
        <f>IFERROR('Historical FS'!J42/'Historical FS'!I42 -1,0)</f>
        <v>-0.30915790796030229</v>
      </c>
      <c r="K9" s="282">
        <f>IFERROR('Historical FS'!K42/'Historical FS'!J42 -1,0)</f>
        <v>-0.39677536671111957</v>
      </c>
      <c r="L9" s="282">
        <f>IFERROR('Historical FS'!L42/'Historical FS'!K42 -1,0)</f>
        <v>0.15152733118971495</v>
      </c>
      <c r="M9" s="283"/>
      <c r="N9" s="284">
        <f ca="1">IFERROR('The 3-Statement Projection'!D27/'The 3-Statement Projection'!C27-1,0)</f>
        <v>0.97042475258711591</v>
      </c>
      <c r="O9" s="284">
        <f ca="1">IFERROR('The 3-Statement Projection'!E27/'The 3-Statement Projection'!D27-1,0)</f>
        <v>-0.1152937562908608</v>
      </c>
      <c r="P9" s="284">
        <f ca="1">IFERROR('The 3-Statement Projection'!F27/'The 3-Statement Projection'!E27-1,0)</f>
        <v>5.2909389619087532E-2</v>
      </c>
      <c r="Q9" s="284">
        <f ca="1">IFERROR('The 3-Statement Projection'!G27/'The 3-Statement Projection'!F27-1,0)</f>
        <v>2.6028735819060955E-2</v>
      </c>
      <c r="R9" s="284">
        <f ca="1">IFERROR('The 3-Statement Projection'!H27/'The 3-Statement Projection'!G27-1,0)</f>
        <v>9.5162407730238208E-3</v>
      </c>
      <c r="S9" s="284">
        <f ca="1">IFERROR('The 3-Statement Projection'!I27/'The 3-Statement Projection'!H27-1,0)</f>
        <v>9.2669160037328613E-3</v>
      </c>
      <c r="T9" s="284">
        <f ca="1">IFERROR('The 3-Statement Projection'!J27/'The 3-Statement Projection'!I27-1,0)</f>
        <v>9.0668112411260715E-3</v>
      </c>
      <c r="U9" s="284">
        <f ca="1">IFERROR('The 3-Statement Projection'!K27/'The 3-Statement Projection'!J27-1,0)</f>
        <v>8.8685091776017355E-3</v>
      </c>
      <c r="V9" s="285" t="s">
        <v>379</v>
      </c>
      <c r="W9" s="286" t="s">
        <v>380</v>
      </c>
    </row>
    <row r="10" spans="1:23" ht="14.25" customHeight="1" x14ac:dyDescent="0.3">
      <c r="A10" s="2"/>
      <c r="B10" s="281"/>
      <c r="C10" s="281"/>
      <c r="D10" s="281"/>
      <c r="E10" s="281"/>
      <c r="F10" s="281"/>
      <c r="G10" s="281"/>
      <c r="H10" s="281"/>
      <c r="I10" s="281"/>
      <c r="J10" s="281"/>
      <c r="K10" s="281"/>
      <c r="L10" s="281"/>
      <c r="M10" s="283"/>
      <c r="N10" s="287"/>
      <c r="O10" s="287"/>
      <c r="P10" s="287"/>
      <c r="Q10" s="287"/>
      <c r="R10" s="287"/>
      <c r="S10" s="287"/>
      <c r="T10" s="287"/>
      <c r="U10" s="287"/>
      <c r="V10" s="285"/>
      <c r="W10" s="288"/>
    </row>
    <row r="11" spans="1:23" ht="14.25" customHeight="1" x14ac:dyDescent="0.3">
      <c r="A11" s="2"/>
      <c r="B11" s="289" t="s">
        <v>381</v>
      </c>
      <c r="C11" s="289"/>
      <c r="D11" s="289"/>
      <c r="E11" s="289"/>
      <c r="F11" s="289"/>
      <c r="G11" s="289"/>
      <c r="H11" s="289"/>
      <c r="I11" s="289"/>
      <c r="J11" s="289"/>
      <c r="K11" s="289"/>
      <c r="L11" s="289"/>
      <c r="M11" s="290"/>
      <c r="N11" s="289"/>
      <c r="O11" s="289"/>
      <c r="P11" s="289"/>
      <c r="Q11" s="289"/>
      <c r="R11" s="289"/>
      <c r="S11" s="289"/>
      <c r="T11" s="289"/>
      <c r="U11" s="289"/>
      <c r="V11" s="285"/>
      <c r="W11" s="291"/>
    </row>
    <row r="12" spans="1:23" ht="64.5" customHeight="1" x14ac:dyDescent="0.3">
      <c r="A12" s="2"/>
      <c r="B12" s="281" t="s">
        <v>167</v>
      </c>
      <c r="C12" s="282">
        <f>IFERROR('Historical FS'!C12,0)</f>
        <v>5.8142131412940279E-2</v>
      </c>
      <c r="D12" s="282">
        <f>IFERROR('Historical FS'!D12,0)</f>
        <v>0.21470028181887416</v>
      </c>
      <c r="E12" s="282">
        <f>IFERROR('Historical FS'!E12,0)</f>
        <v>0.23148982165375612</v>
      </c>
      <c r="F12" s="282">
        <f>IFERROR('Historical FS'!F12,0)</f>
        <v>0.19482030049513407</v>
      </c>
      <c r="G12" s="282">
        <f>IFERROR('Historical FS'!G12,0)</f>
        <v>0.12629146810549677</v>
      </c>
      <c r="H12" s="282">
        <f>IFERROR('Historical FS'!H12,0)</f>
        <v>0.25356946372900896</v>
      </c>
      <c r="I12" s="282">
        <f>IFERROR('Historical FS'!I12,0)</f>
        <v>0.3502729336747018</v>
      </c>
      <c r="J12" s="282">
        <f>IFERROR('Historical FS'!J12,0)</f>
        <v>0.1617247157751088</v>
      </c>
      <c r="K12" s="282">
        <f>IFERROR('Historical FS'!K12,0)</f>
        <v>0.15022889114954205</v>
      </c>
      <c r="L12" s="282">
        <f>IFERROR('Historical FS'!L12,0)</f>
        <v>0.15809076966649394</v>
      </c>
      <c r="M12" s="283"/>
      <c r="N12" s="284">
        <f>IFERROR('The 3-Statement Projection'!D10/'The 3-Statement Projection'!D6,0)</f>
        <v>0.22917245056367208</v>
      </c>
      <c r="O12" s="284">
        <f>IFERROR('The 3-Statement Projection'!E10/'The 3-Statement Projection'!E6,0)</f>
        <v>0.2107687053828334</v>
      </c>
      <c r="P12" s="284">
        <f>IFERROR('The 3-Statement Projection'!F10/'The 3-Statement Projection'!F6,0)</f>
        <v>0.21276870538283335</v>
      </c>
      <c r="Q12" s="284">
        <f>IFERROR('The 3-Statement Projection'!G10/'The 3-Statement Projection'!G6,0)</f>
        <v>0.21476870538283341</v>
      </c>
      <c r="R12" s="284">
        <f>IFERROR('The 3-Statement Projection'!H10/'The 3-Statement Projection'!H6,0)</f>
        <v>0.21476870538283341</v>
      </c>
      <c r="S12" s="284">
        <f>IFERROR('The 3-Statement Projection'!I10/'The 3-Statement Projection'!I6,0)</f>
        <v>0.21476870538283341</v>
      </c>
      <c r="T12" s="284">
        <f>IFERROR('The 3-Statement Projection'!J10/'The 3-Statement Projection'!J6,0)</f>
        <v>0.21476870538283341</v>
      </c>
      <c r="U12" s="284">
        <f>IFERROR('The 3-Statement Projection'!K10/'The 3-Statement Projection'!K6,0)</f>
        <v>0.21476870538283341</v>
      </c>
      <c r="V12" s="285" t="s">
        <v>382</v>
      </c>
      <c r="W12" s="286" t="s">
        <v>383</v>
      </c>
    </row>
    <row r="13" spans="1:23" ht="64.5" customHeight="1" x14ac:dyDescent="0.3">
      <c r="A13" s="2"/>
      <c r="B13" s="281" t="s">
        <v>168</v>
      </c>
      <c r="C13" s="282">
        <f>IFERROR('Historical FS'!C21,0)</f>
        <v>-1.4402947579969894E-2</v>
      </c>
      <c r="D13" s="282">
        <f>IFERROR('Historical FS'!D21,0)</f>
        <v>0.16700434153400859</v>
      </c>
      <c r="E13" s="282">
        <f>IFERROR('Historical FS'!E21,0)</f>
        <v>0.18352549090254011</v>
      </c>
      <c r="F13" s="282">
        <f>IFERROR('Historical FS'!F21,0)</f>
        <v>0.14014213761311256</v>
      </c>
      <c r="G13" s="282">
        <f>IFERROR('Historical FS'!G21,0)</f>
        <v>6.6690297086894362E-2</v>
      </c>
      <c r="H13" s="282">
        <f>IFERROR('Historical FS'!H21,0)</f>
        <v>0.19332739514290956</v>
      </c>
      <c r="I13" s="282">
        <f>IFERROR('Historical FS'!I21,0)</f>
        <v>0.30305299260905283</v>
      </c>
      <c r="J13" s="282">
        <f>IFERROR('Historical FS'!J21,0)</f>
        <v>0.13041231423783595</v>
      </c>
      <c r="K13" s="282">
        <f>IFERROR('Historical FS'!K21,0)</f>
        <v>0.10350966429298049</v>
      </c>
      <c r="L13" s="282">
        <f>IFERROR('Historical FS'!L21,0)</f>
        <v>0.10711098523510022</v>
      </c>
      <c r="M13" s="283"/>
      <c r="N13" s="284">
        <f>IFERROR('The 3-Statement Projection'!D16,0)</f>
        <v>0.18247245056367206</v>
      </c>
      <c r="O13" s="284">
        <f>IFERROR('The 3-Statement Projection'!E16,0)</f>
        <v>0.16406870538283339</v>
      </c>
      <c r="P13" s="284">
        <f>IFERROR('The 3-Statement Projection'!F16,0)</f>
        <v>0.16606870538283336</v>
      </c>
      <c r="Q13" s="284">
        <f>IFERROR('The 3-Statement Projection'!G16,0)</f>
        <v>0.16806870538283342</v>
      </c>
      <c r="R13" s="284">
        <f>IFERROR('The 3-Statement Projection'!H16,0)</f>
        <v>0.16806870538283342</v>
      </c>
      <c r="S13" s="284">
        <f>IFERROR('The 3-Statement Projection'!I16,0)</f>
        <v>0.16806870538283342</v>
      </c>
      <c r="T13" s="284">
        <f>IFERROR('The 3-Statement Projection'!J16,0)</f>
        <v>0.16806870538283342</v>
      </c>
      <c r="U13" s="284">
        <f>IFERROR('The 3-Statement Projection'!K16,0)</f>
        <v>0.16806870538283342</v>
      </c>
      <c r="V13" s="285" t="s">
        <v>238</v>
      </c>
      <c r="W13" s="286" t="s">
        <v>384</v>
      </c>
    </row>
    <row r="14" spans="1:23" ht="64.5" customHeight="1" x14ac:dyDescent="0.3">
      <c r="A14" s="2"/>
      <c r="B14" s="281" t="s">
        <v>245</v>
      </c>
      <c r="C14" s="282">
        <f>IFERROR('Historical FS'!C27,0)</f>
        <v>-9.5656785574722306E-2</v>
      </c>
      <c r="D14" s="282">
        <f>IFERROR('Historical FS'!D27,0)</f>
        <v>0.12230939142356605</v>
      </c>
      <c r="E14" s="282">
        <f>IFERROR('Historical FS'!E27,0)</f>
        <v>0.15279904521707804</v>
      </c>
      <c r="F14" s="282">
        <f>IFERROR('Historical FS'!F27,0)</f>
        <v>0.12175601843947417</v>
      </c>
      <c r="G14" s="282">
        <f>IFERROR('Historical FS'!G27,0)</f>
        <v>4.3112388904204962E-2</v>
      </c>
      <c r="H14" s="282">
        <f>IFERROR('Historical FS'!H27,0)</f>
        <v>0.1671425951638679</v>
      </c>
      <c r="I14" s="282">
        <f>IFERROR('Historical FS'!I27,0)</f>
        <v>0.28597652287329128</v>
      </c>
      <c r="J14" s="282">
        <f>IFERROR('Historical FS'!J27,0)</f>
        <v>0.11965040087500142</v>
      </c>
      <c r="K14" s="282">
        <f>IFERROR('Historical FS'!K27,0)</f>
        <v>9.0087741607324329E-2</v>
      </c>
      <c r="L14" s="282">
        <f>IFERROR('Historical FS'!L27,0)</f>
        <v>9.0555914777190619E-2</v>
      </c>
      <c r="M14" s="283"/>
      <c r="N14" s="284">
        <f>IFERROR('The 3-Statement Projection'!D19/'The 3-Statement Projection'!D6,0)</f>
        <v>0.16050559955752061</v>
      </c>
      <c r="O14" s="284">
        <f>IFERROR('The 3-Statement Projection'!E19/'The 3-Statement Projection'!E6,0)</f>
        <v>0.1426895876652669</v>
      </c>
      <c r="P14" s="284">
        <f>IFERROR('The 3-Statement Projection'!F19/'The 3-Statement Projection'!F6,0)</f>
        <v>0.14411781540133989</v>
      </c>
      <c r="Q14" s="284">
        <f>IFERROR('The 3-Statement Projection'!G19/'The 3-Statement Projection'!G6,0)</f>
        <v>0.14553174883081479</v>
      </c>
      <c r="R14" s="284">
        <f>IFERROR('The 3-Statement Projection'!H19/'The 3-Statement Projection'!H6,0)</f>
        <v>0.14493103059602649</v>
      </c>
      <c r="S14" s="284">
        <f>IFERROR('The 3-Statement Projection'!I19/'The 3-Statement Projection'!I6,0)</f>
        <v>0.14431529440536853</v>
      </c>
      <c r="T14" s="284">
        <f>IFERROR('The 3-Statement Projection'!J19/'The 3-Statement Projection'!J6,0)</f>
        <v>0.14368416480994406</v>
      </c>
      <c r="U14" s="284">
        <f>IFERROR('The 3-Statement Projection'!K19/'The 3-Statement Projection'!K6,0)</f>
        <v>0.14303725697463401</v>
      </c>
      <c r="V14" s="285" t="s">
        <v>246</v>
      </c>
      <c r="W14" s="286" t="s">
        <v>385</v>
      </c>
    </row>
    <row r="15" spans="1:23" ht="64.5" customHeight="1" x14ac:dyDescent="0.3">
      <c r="A15" s="2"/>
      <c r="B15" s="281" t="s">
        <v>386</v>
      </c>
      <c r="C15" s="282">
        <f>IFERROR('Historical FS'!C38,0)</f>
        <v>-0.13688382738793059</v>
      </c>
      <c r="D15" s="282">
        <f>IFERROR('Historical FS'!D38,0)</f>
        <v>5.6409475207555695E-2</v>
      </c>
      <c r="E15" s="282">
        <f>IFERROR('Historical FS'!E38,0)</f>
        <v>9.3901999639704609E-2</v>
      </c>
      <c r="F15" s="282">
        <f>IFERROR('Historical FS'!F38,0)</f>
        <v>6.8817227249445154E-2</v>
      </c>
      <c r="G15" s="282">
        <f>IFERROR('Historical FS'!G38,0)</f>
        <v>-1.7985375395481278E-2</v>
      </c>
      <c r="H15" s="282">
        <f>IFERROR('Historical FS'!H38,0)</f>
        <v>0.10866888475544262</v>
      </c>
      <c r="I15" s="282">
        <f>IFERROR('Historical FS'!I38,0)</f>
        <v>0.26505965895367389</v>
      </c>
      <c r="J15" s="282">
        <f>IFERROR('Historical FS'!J38,0)</f>
        <v>0.11016787581404235</v>
      </c>
      <c r="K15" s="282">
        <f>IFERROR('Historical FS'!K38,0)</f>
        <v>8.6145727365208355E-2</v>
      </c>
      <c r="L15" s="282">
        <f>IFERROR('Historical FS'!L38,0)</f>
        <v>8.2641757466614715E-2</v>
      </c>
      <c r="M15" s="283"/>
      <c r="N15" s="284">
        <f ca="1">IFERROR('The 3-Statement Projection'!D23/'The 3-Statement Projection'!D6,0)</f>
        <v>0.14499794610115543</v>
      </c>
      <c r="O15" s="284">
        <f ca="1">IFERROR('The 3-Statement Projection'!E23/'The 3-Statement Projection'!E6,0)</f>
        <v>0.12159082209272902</v>
      </c>
      <c r="P15" s="284">
        <f ca="1">IFERROR('The 3-Statement Projection'!F23/'The 3-Statement Projection'!F6,0)</f>
        <v>0.12802411827293839</v>
      </c>
      <c r="Q15" s="284">
        <f ca="1">IFERROR('The 3-Statement Projection'!G23/'The 3-Statement Projection'!G6,0)</f>
        <v>0.13135642422593291</v>
      </c>
      <c r="R15" s="284">
        <f ca="1">IFERROR('The 3-Statement Projection'!H23/'The 3-Statement Projection'!H6,0)</f>
        <v>0.13260644358595036</v>
      </c>
      <c r="S15" s="284">
        <f ca="1">IFERROR('The 3-Statement Projection'!I23/'The 3-Statement Projection'!I6,0)</f>
        <v>0.1338352963602151</v>
      </c>
      <c r="T15" s="284">
        <f ca="1">IFERROR('The 3-Statement Projection'!J23/'The 3-Statement Projection'!J6,0)</f>
        <v>0.13504875572971334</v>
      </c>
      <c r="U15" s="284">
        <f ca="1">IFERROR('The 3-Statement Projection'!K23/'The 3-Statement Projection'!K6,0)</f>
        <v>0.136246436859326</v>
      </c>
      <c r="V15" s="285" t="s">
        <v>387</v>
      </c>
      <c r="W15" s="286" t="s">
        <v>388</v>
      </c>
    </row>
    <row r="16" spans="1:23" ht="64.5" customHeight="1" x14ac:dyDescent="0.3">
      <c r="A16" s="2"/>
      <c r="B16" s="281" t="s">
        <v>389</v>
      </c>
      <c r="C16" s="282">
        <f>IFERROR('Historical FS'!C43,0)</f>
        <v>-8.9515993970859201E-2</v>
      </c>
      <c r="D16" s="282">
        <f>IFERROR('Historical FS'!D43,0)</f>
        <v>3.6819255084164726E-2</v>
      </c>
      <c r="E16" s="282">
        <f>IFERROR('Historical FS'!E43,0)</f>
        <v>6.4369032606737583E-2</v>
      </c>
      <c r="F16" s="282">
        <f>IFERROR('Historical FS'!F43,0)</f>
        <v>4.2801348813385737E-2</v>
      </c>
      <c r="G16" s="282">
        <f>IFERROR('Historical FS'!G43,0)</f>
        <v>-1.5425413204153643E-2</v>
      </c>
      <c r="H16" s="282">
        <f>IFERROR('Historical FS'!H43,0)</f>
        <v>7.5790521600167665E-2</v>
      </c>
      <c r="I16" s="282">
        <f>IFERROR('Historical FS'!I43,0)</f>
        <v>0.19226929455903918</v>
      </c>
      <c r="J16" s="282">
        <f>IFERROR('Historical FS'!J43,0)</f>
        <v>8.2773914526827211E-2</v>
      </c>
      <c r="K16" s="282">
        <f>IFERROR('Historical FS'!K43,0)</f>
        <v>6.3275686673448447E-2</v>
      </c>
      <c r="L16" s="282">
        <f>IFERROR('Historical FS'!L43,0)</f>
        <v>6.123986683268056E-2</v>
      </c>
      <c r="M16" s="283"/>
      <c r="N16" s="284">
        <f ca="1">IFERROR('The 3-Statement Projection'!D28,0)</f>
        <v>0.10850486302641663</v>
      </c>
      <c r="O16" s="284">
        <f ca="1">IFERROR('The 3-Statement Projection'!E28,0)</f>
        <v>9.098884398843099E-2</v>
      </c>
      <c r="P16" s="284">
        <f ca="1">IFERROR('The 3-Statement Projection'!F28,0)</f>
        <v>9.5803008186005248E-2</v>
      </c>
      <c r="Q16" s="284">
        <f ca="1">IFERROR('The 3-Statement Projection'!G28,0)</f>
        <v>9.8296639376750108E-2</v>
      </c>
      <c r="R16" s="284">
        <f ca="1">IFERROR('The 3-Statement Projection'!H28,0)</f>
        <v>9.9232053864238362E-2</v>
      </c>
      <c r="S16" s="284">
        <f ca="1">IFERROR('The 3-Statement Projection'!I28,0)</f>
        <v>0.10015162897227617</v>
      </c>
      <c r="T16" s="284">
        <f ca="1">IFERROR('The 3-Statement Projection'!J28,0)</f>
        <v>0.1010596848876591</v>
      </c>
      <c r="U16" s="284">
        <f ca="1">IFERROR('The 3-Statement Projection'!K28,0)</f>
        <v>0.10195593363057083</v>
      </c>
      <c r="V16" s="285" t="s">
        <v>390</v>
      </c>
      <c r="W16" s="286" t="s">
        <v>391</v>
      </c>
    </row>
    <row r="17" spans="1:23" ht="14.25" customHeight="1" x14ac:dyDescent="0.3">
      <c r="A17" s="2"/>
      <c r="B17" s="281"/>
      <c r="C17" s="281"/>
      <c r="D17" s="281"/>
      <c r="E17" s="281"/>
      <c r="F17" s="281"/>
      <c r="G17" s="281"/>
      <c r="H17" s="281"/>
      <c r="I17" s="281"/>
      <c r="J17" s="281"/>
      <c r="K17" s="281"/>
      <c r="L17" s="281"/>
      <c r="M17" s="283"/>
      <c r="N17" s="292"/>
      <c r="O17" s="292"/>
      <c r="P17" s="292"/>
      <c r="Q17" s="292"/>
      <c r="R17" s="292"/>
      <c r="S17" s="292"/>
      <c r="T17" s="292"/>
      <c r="U17" s="292"/>
      <c r="V17" s="285"/>
      <c r="W17" s="288"/>
    </row>
    <row r="18" spans="1:23" ht="49.5" customHeight="1" x14ac:dyDescent="0.3">
      <c r="A18" s="2"/>
      <c r="B18" s="281" t="s">
        <v>392</v>
      </c>
      <c r="C18" s="282">
        <f>IFERROR('Historical FS'!C18,0)</f>
        <v>5.2643331658571983E-2</v>
      </c>
      <c r="D18" s="282">
        <f>IFERROR('Historical FS'!D18,0)</f>
        <v>3.3330794424556325E-2</v>
      </c>
      <c r="E18" s="282">
        <f>IFERROR('Historical FS'!E18,0)</f>
        <v>3.8743019275806159E-2</v>
      </c>
      <c r="F18" s="282">
        <f>IFERROR('Historical FS'!F18,0)</f>
        <v>4.4273945705992822E-2</v>
      </c>
      <c r="G18" s="282">
        <f>IFERROR('Historical FS'!G18,0)</f>
        <v>4.6368135691124149E-2</v>
      </c>
      <c r="H18" s="282">
        <f>IFERROR('Historical FS'!H18,0)</f>
        <v>4.677634853684734E-2</v>
      </c>
      <c r="I18" s="282">
        <f>IFERROR('Historical FS'!I18,0)</f>
        <v>3.6882276218540164E-2</v>
      </c>
      <c r="J18" s="282">
        <f>IFERROR('Historical FS'!J18,0)</f>
        <v>2.5211475360486468E-2</v>
      </c>
      <c r="K18" s="282">
        <f>IFERROR('Historical FS'!K18,0)</f>
        <v>3.7423702950152592E-2</v>
      </c>
      <c r="L18" s="282">
        <f>IFERROR('Historical FS'!L18,0)</f>
        <v>4.1441114073947405E-2</v>
      </c>
      <c r="M18" s="283"/>
      <c r="N18" s="284">
        <f>IFERROR('The 3-Statement Projection'!D13/'The 3-Statement Projection'!D6,0)</f>
        <v>3.7400000000000003E-2</v>
      </c>
      <c r="O18" s="284">
        <f>IFERROR('The 3-Statement Projection'!E13/'The 3-Statement Projection'!E6,0)</f>
        <v>3.7400000000000003E-2</v>
      </c>
      <c r="P18" s="284">
        <f>IFERROR('The 3-Statement Projection'!F13/'The 3-Statement Projection'!F6,0)</f>
        <v>3.7400000000000003E-2</v>
      </c>
      <c r="Q18" s="284">
        <f>IFERROR('The 3-Statement Projection'!G13/'The 3-Statement Projection'!G6,0)</f>
        <v>3.7400000000000003E-2</v>
      </c>
      <c r="R18" s="284">
        <f>IFERROR('The 3-Statement Projection'!H13/'The 3-Statement Projection'!H6,0)</f>
        <v>3.7400000000000003E-2</v>
      </c>
      <c r="S18" s="284">
        <f>IFERROR('The 3-Statement Projection'!I13/'The 3-Statement Projection'!I6,0)</f>
        <v>3.7400000000000003E-2</v>
      </c>
      <c r="T18" s="284">
        <f>IFERROR('The 3-Statement Projection'!J13/'The 3-Statement Projection'!J6,0)</f>
        <v>3.7400000000000003E-2</v>
      </c>
      <c r="U18" s="284">
        <f>IFERROR('The 3-Statement Projection'!K13/'The 3-Statement Projection'!K6,0)</f>
        <v>3.7400000000000003E-2</v>
      </c>
      <c r="V18" s="285" t="s">
        <v>235</v>
      </c>
      <c r="W18" s="286" t="s">
        <v>393</v>
      </c>
    </row>
    <row r="19" spans="1:23" ht="49.5" customHeight="1" x14ac:dyDescent="0.3">
      <c r="A19" s="2"/>
      <c r="B19" s="281" t="s">
        <v>241</v>
      </c>
      <c r="C19" s="282">
        <f>IFERROR('Historical FS'!C24,0)</f>
        <v>8.1253837994752415E-2</v>
      </c>
      <c r="D19" s="282">
        <f>IFERROR('Historical FS'!D24,0)</f>
        <v>4.4694950110442527E-2</v>
      </c>
      <c r="E19" s="282">
        <f>IFERROR('Historical FS'!E24,0)</f>
        <v>3.0726445685462078E-2</v>
      </c>
      <c r="F19" s="282">
        <f>IFERROR('Historical FS'!F24,0)</f>
        <v>1.8386119173638381E-2</v>
      </c>
      <c r="G19" s="282">
        <f>IFERROR('Historical FS'!G24,0)</f>
        <v>2.3577908182689403E-2</v>
      </c>
      <c r="H19" s="282">
        <f>IFERROR('Historical FS'!H24,0)</f>
        <v>2.6184799979041676E-2</v>
      </c>
      <c r="I19" s="282">
        <f>IFERROR('Historical FS'!I24,0)</f>
        <v>1.7076469735761556E-2</v>
      </c>
      <c r="J19" s="282">
        <f>IFERROR('Historical FS'!J24,0)</f>
        <v>1.0761913362834521E-2</v>
      </c>
      <c r="K19" s="282">
        <f>IFERROR('Historical FS'!K24,0)</f>
        <v>1.3421922685656153E-2</v>
      </c>
      <c r="L19" s="282">
        <f>IFERROR('Historical FS'!L24,0)</f>
        <v>1.6555070457909615E-2</v>
      </c>
      <c r="M19" s="283"/>
      <c r="N19" s="284">
        <f>IFERROR('The 3-Statement Projection'!D18/'The 3-Statement Projection'!D6,0)</f>
        <v>2.1966851006151453E-2</v>
      </c>
      <c r="O19" s="284">
        <f>IFERROR('The 3-Statement Projection'!E18/'The 3-Statement Projection'!E6,0)</f>
        <v>2.1379117717566506E-2</v>
      </c>
      <c r="P19" s="284">
        <f>IFERROR('The 3-Statement Projection'!F18/'The 3-Statement Projection'!F6,0)</f>
        <v>2.1950889981493488E-2</v>
      </c>
      <c r="Q19" s="284">
        <f>IFERROR('The 3-Statement Projection'!G18/'The 3-Statement Projection'!G6,0)</f>
        <v>2.2536956552018636E-2</v>
      </c>
      <c r="R19" s="284">
        <f>IFERROR('The 3-Statement Projection'!H18/'The 3-Statement Projection'!H6,0)</f>
        <v>2.3137674786806919E-2</v>
      </c>
      <c r="S19" s="284">
        <f>IFERROR('The 3-Statement Projection'!I18/'The 3-Statement Projection'!I6,0)</f>
        <v>2.375341097746491E-2</v>
      </c>
      <c r="T19" s="284">
        <f>IFERROR('The 3-Statement Projection'!J18/'The 3-Statement Projection'!J6,0)</f>
        <v>2.4384540572889354E-2</v>
      </c>
      <c r="U19" s="284">
        <f>IFERROR('The 3-Statement Projection'!K18/'The 3-Statement Projection'!K6,0)</f>
        <v>2.503144840819941E-2</v>
      </c>
      <c r="V19" s="285" t="s">
        <v>242</v>
      </c>
      <c r="W19" s="286" t="s">
        <v>394</v>
      </c>
    </row>
    <row r="20" spans="1:23" ht="49.5" customHeight="1" x14ac:dyDescent="0.3">
      <c r="A20" s="2"/>
      <c r="B20" s="281" t="s">
        <v>395</v>
      </c>
      <c r="C20" s="282">
        <f>IFERROR('Historical FS'!C27,0)</f>
        <v>-9.5656785574722306E-2</v>
      </c>
      <c r="D20" s="282">
        <f>IFERROR('Historical FS'!D27,0)</f>
        <v>0.12230939142356605</v>
      </c>
      <c r="E20" s="282">
        <f>IFERROR('Historical FS'!E27,0)</f>
        <v>0.15279904521707804</v>
      </c>
      <c r="F20" s="282">
        <f>IFERROR('Historical FS'!F27,0)</f>
        <v>0.12175601843947417</v>
      </c>
      <c r="G20" s="282">
        <f>IFERROR('Historical FS'!G27,0)</f>
        <v>4.3112388904204962E-2</v>
      </c>
      <c r="H20" s="282">
        <f>IFERROR('Historical FS'!H27,0)</f>
        <v>0.1671425951638679</v>
      </c>
      <c r="I20" s="282">
        <f>IFERROR('Historical FS'!I27,0)</f>
        <v>0.28597652287329128</v>
      </c>
      <c r="J20" s="282">
        <f>IFERROR('Historical FS'!J27,0)</f>
        <v>0.11965040087500142</v>
      </c>
      <c r="K20" s="282">
        <f>IFERROR('Historical FS'!K27,0)</f>
        <v>9.0087741607324329E-2</v>
      </c>
      <c r="L20" s="282">
        <f>IFERROR('Historical FS'!L27,0)</f>
        <v>9.0555914777190619E-2</v>
      </c>
      <c r="M20" s="283"/>
      <c r="N20" s="284">
        <f>IFERROR('The 3-Statement Projection'!D19/'The 3-Statement Projection'!D6,0)</f>
        <v>0.16050559955752061</v>
      </c>
      <c r="O20" s="284">
        <f>IFERROR('The 3-Statement Projection'!E19/'The 3-Statement Projection'!E6,0)</f>
        <v>0.1426895876652669</v>
      </c>
      <c r="P20" s="284">
        <f>IFERROR('The 3-Statement Projection'!F19/'The 3-Statement Projection'!F6,0)</f>
        <v>0.14411781540133989</v>
      </c>
      <c r="Q20" s="284">
        <f>IFERROR('The 3-Statement Projection'!G19/'The 3-Statement Projection'!G6,0)</f>
        <v>0.14553174883081479</v>
      </c>
      <c r="R20" s="284">
        <f>IFERROR('The 3-Statement Projection'!H19/'The 3-Statement Projection'!H6,0)</f>
        <v>0.14493103059602649</v>
      </c>
      <c r="S20" s="284">
        <f>IFERROR('The 3-Statement Projection'!I19/'The 3-Statement Projection'!I6,0)</f>
        <v>0.14431529440536853</v>
      </c>
      <c r="T20" s="284">
        <f>IFERROR('The 3-Statement Projection'!J19/'The 3-Statement Projection'!J6,0)</f>
        <v>0.14368416480994406</v>
      </c>
      <c r="U20" s="284">
        <f>IFERROR('The 3-Statement Projection'!K19/'The 3-Statement Projection'!K6,0)</f>
        <v>0.14303725697463401</v>
      </c>
      <c r="V20" s="285" t="s">
        <v>396</v>
      </c>
      <c r="W20" s="286" t="s">
        <v>397</v>
      </c>
    </row>
    <row r="21" spans="1:23" ht="14.25" customHeight="1" x14ac:dyDescent="0.3">
      <c r="A21" s="2"/>
      <c r="B21" s="293"/>
      <c r="C21" s="293"/>
      <c r="D21" s="293"/>
      <c r="E21" s="293"/>
      <c r="F21" s="293"/>
      <c r="G21" s="293"/>
      <c r="H21" s="293"/>
      <c r="I21" s="293"/>
      <c r="J21" s="293"/>
      <c r="K21" s="293"/>
      <c r="L21" s="293"/>
      <c r="M21" s="293"/>
      <c r="N21" s="294"/>
      <c r="O21" s="294"/>
      <c r="P21" s="294"/>
      <c r="Q21" s="294"/>
      <c r="R21" s="294"/>
      <c r="S21" s="294"/>
      <c r="T21" s="294"/>
      <c r="U21" s="294"/>
      <c r="V21" s="285"/>
      <c r="W21" s="295"/>
    </row>
    <row r="22" spans="1:23" ht="14.25" customHeight="1" x14ac:dyDescent="0.3">
      <c r="A22" s="2"/>
      <c r="B22" s="296" t="s">
        <v>398</v>
      </c>
      <c r="C22" s="296"/>
      <c r="D22" s="296"/>
      <c r="E22" s="296"/>
      <c r="F22" s="296"/>
      <c r="G22" s="296"/>
      <c r="H22" s="296"/>
      <c r="I22" s="296"/>
      <c r="J22" s="296"/>
      <c r="K22" s="296"/>
      <c r="L22" s="296"/>
      <c r="M22" s="296"/>
      <c r="N22" s="296"/>
      <c r="O22" s="296"/>
      <c r="P22" s="296"/>
      <c r="Q22" s="296"/>
      <c r="R22" s="296"/>
      <c r="S22" s="296"/>
      <c r="T22" s="296"/>
      <c r="U22" s="296"/>
      <c r="V22" s="285"/>
      <c r="W22" s="77"/>
    </row>
    <row r="23" spans="1:23" ht="64.5" customHeight="1" x14ac:dyDescent="0.3">
      <c r="A23" s="2"/>
      <c r="B23" s="281" t="s">
        <v>399</v>
      </c>
      <c r="C23" s="297">
        <f>IFERROR('Historical FS'!C94/'Historical FS'!C70,0)</f>
        <v>0.24452554744525548</v>
      </c>
      <c r="D23" s="297">
        <f>IFERROR('Historical FS'!D94/'Historical FS'!D70,0)</f>
        <v>1.1674261399643902</v>
      </c>
      <c r="E23" s="297">
        <f>IFERROR('Historical FS'!E94/'Historical FS'!E70,0)</f>
        <v>3.3342976999855347</v>
      </c>
      <c r="F23" s="297">
        <f>IFERROR('Historical FS'!F94/'Historical FS'!F70,0)</f>
        <v>2.1922507860181248</v>
      </c>
      <c r="G23" s="297">
        <f>IFERROR('Historical FS'!G94/'Historical FS'!G70,0)</f>
        <v>1.9633314906946748</v>
      </c>
      <c r="H23" s="297">
        <f>IFERROR('Historical FS'!H94/'Historical FS'!H70,0)</f>
        <v>4.8314249363867692</v>
      </c>
      <c r="I23" s="297">
        <f>IFERROR('Historical FS'!I94/'Historical FS'!I70,0)</f>
        <v>2.1139264702758962</v>
      </c>
      <c r="J23" s="297">
        <f>IFERROR('Historical FS'!J94/'Historical FS'!J70,0)</f>
        <v>1.1377429730107675</v>
      </c>
      <c r="K23" s="297">
        <f>IFERROR('Historical FS'!K94/'Historical FS'!K70,0)</f>
        <v>1.076341075887115</v>
      </c>
      <c r="L23" s="297">
        <f>IFERROR('Historical FS'!L94/'Historical FS'!L70,0)</f>
        <v>1.0152171513713371</v>
      </c>
      <c r="M23" s="283"/>
      <c r="N23" s="299">
        <f ca="1">IFERROR('The 3-Statement Projection'!D70/'The 3-Statement Projection'!D49,0)</f>
        <v>1.1298560278794822</v>
      </c>
      <c r="O23" s="299">
        <f ca="1">IFERROR('The 3-Statement Projection'!E70/'The 3-Statement Projection'!E49,0)</f>
        <v>1.6688763906789157</v>
      </c>
      <c r="P23" s="299">
        <f ca="1">IFERROR('The 3-Statement Projection'!F70/'The 3-Statement Projection'!F49,0)</f>
        <v>2.76213922417644</v>
      </c>
      <c r="Q23" s="299">
        <f ca="1">IFERROR('The 3-Statement Projection'!G70/'The 3-Statement Projection'!G49,0)</f>
        <v>3.2788446251736949</v>
      </c>
      <c r="R23" s="299">
        <f ca="1">IFERROR('The 3-Statement Projection'!H70/'The 3-Statement Projection'!H49,0)</f>
        <v>3.7980057842183506</v>
      </c>
      <c r="S23" s="299">
        <f ca="1">IFERROR('The 3-Statement Projection'!I70/'The 3-Statement Projection'!I49,0)</f>
        <v>4.3110794291095482</v>
      </c>
      <c r="T23" s="299">
        <f ca="1">IFERROR('The 3-Statement Projection'!J70/'The 3-Statement Projection'!J49,0)</f>
        <v>4.7502695446434986</v>
      </c>
      <c r="U23" s="299">
        <f ca="1">IFERROR('The 3-Statement Projection'!K70/'The 3-Statement Projection'!K49,0)</f>
        <v>5.194782679321249</v>
      </c>
      <c r="V23" s="285" t="s">
        <v>400</v>
      </c>
      <c r="W23" s="286" t="s">
        <v>401</v>
      </c>
    </row>
    <row r="24" spans="1:23" ht="64.5" customHeight="1" x14ac:dyDescent="0.3">
      <c r="A24" s="2"/>
      <c r="B24" s="281" t="s">
        <v>402</v>
      </c>
      <c r="C24" s="297">
        <f>IFERROR(('Historical FS'!C94-'Historical FS'!C89)/'Historical FS'!C70,0)</f>
        <v>4.5506386861313891E-2</v>
      </c>
      <c r="D24" s="297">
        <f>IFERROR(('Historical FS'!D94-'Historical FS'!D89)/'Historical FS'!D70,0)</f>
        <v>0.69508404502519827</v>
      </c>
      <c r="E24" s="297">
        <f>IFERROR(('Historical FS'!E94-'Historical FS'!E89)/'Historical FS'!E70,0)</f>
        <v>2.5418776218718357</v>
      </c>
      <c r="F24" s="297">
        <f>IFERROR(('Historical FS'!F94-'Historical FS'!F89)/'Historical FS'!F70,0)</f>
        <v>0.89365637137044585</v>
      </c>
      <c r="G24" s="297">
        <f>IFERROR(('Historical FS'!G94-'Historical FS'!G89)/'Historical FS'!G70,0)</f>
        <v>0.70324304403906401</v>
      </c>
      <c r="H24" s="297">
        <f>IFERROR(('Historical FS'!H94-'Historical FS'!H89)/'Historical FS'!H70,0)</f>
        <v>2.7141645462256156</v>
      </c>
      <c r="I24" s="297">
        <f>IFERROR(('Historical FS'!I94-'Historical FS'!I89)/'Historical FS'!I70,0)</f>
        <v>0.83250854873308866</v>
      </c>
      <c r="J24" s="297">
        <f>IFERROR(('Historical FS'!J94-'Historical FS'!J89)/'Historical FS'!J70,0)</f>
        <v>0.34305691511676678</v>
      </c>
      <c r="K24" s="297">
        <f>IFERROR(('Historical FS'!K94-'Historical FS'!K89)/'Historical FS'!K70,0)</f>
        <v>0.56182189604297494</v>
      </c>
      <c r="L24" s="297">
        <f>IFERROR(('Historical FS'!L94-'Historical FS'!L89)/'Historical FS'!L70,0)</f>
        <v>0.57180895094089734</v>
      </c>
      <c r="M24" s="283"/>
      <c r="N24" s="299">
        <f ca="1">IFERROR(('The 3-Statement Projection'!D70-'The 3-Statement Projection'!D65)/'The 3-Statement Projection'!D49,0)</f>
        <v>0.70713654575866824</v>
      </c>
      <c r="O24" s="299">
        <f ca="1">IFERROR(('The 3-Statement Projection'!E70-'The 3-Statement Projection'!E65)/'The 3-Statement Projection'!E49,0)</f>
        <v>1.0234682382563505</v>
      </c>
      <c r="P24" s="299">
        <f ca="1">IFERROR(('The 3-Statement Projection'!F70-'The 3-Statement Projection'!F65)/'The 3-Statement Projection'!F49,0)</f>
        <v>2.0829471817055398</v>
      </c>
      <c r="Q24" s="299">
        <f ca="1">IFERROR(('The 3-Statement Projection'!G70-'The 3-Statement Projection'!G65)/'The 3-Statement Projection'!G49,0)</f>
        <v>2.6002071003836944</v>
      </c>
      <c r="R24" s="299">
        <f ca="1">IFERROR(('The 3-Statement Projection'!H70-'The 3-Statement Projection'!H65)/'The 3-Statement Projection'!H49,0)</f>
        <v>3.1193682594283501</v>
      </c>
      <c r="S24" s="299">
        <f ca="1">IFERROR(('The 3-Statement Projection'!I70-'The 3-Statement Projection'!I65)/'The 3-Statement Projection'!I49,0)</f>
        <v>3.6324419043195482</v>
      </c>
      <c r="T24" s="299">
        <f ca="1">IFERROR(('The 3-Statement Projection'!J70-'The 3-Statement Projection'!J65)/'The 3-Statement Projection'!J49,0)</f>
        <v>4.0716320198534985</v>
      </c>
      <c r="U24" s="299">
        <f ca="1">IFERROR(('The 3-Statement Projection'!K70-'The 3-Statement Projection'!K65)/'The 3-Statement Projection'!K49,0)</f>
        <v>4.516145154531249</v>
      </c>
      <c r="V24" s="285" t="s">
        <v>403</v>
      </c>
      <c r="W24" s="286" t="s">
        <v>404</v>
      </c>
    </row>
    <row r="25" spans="1:23" ht="64.5" customHeight="1" x14ac:dyDescent="0.3">
      <c r="A25" s="2"/>
      <c r="B25" s="281" t="s">
        <v>405</v>
      </c>
      <c r="C25" s="297">
        <f>IFERROR(('Historical FS'!C60+'Historical FS'!C67)/'Historical FS'!C56,0)</f>
        <v>4.6851267671456941E-2</v>
      </c>
      <c r="D25" s="297">
        <f>IFERROR(('Historical FS'!D60+'Historical FS'!D67)/'Historical FS'!D56,0)</f>
        <v>4.2989138633278028</v>
      </c>
      <c r="E25" s="297">
        <f>IFERROR(('Historical FS'!E60+'Historical FS'!E67)/'Historical FS'!E56,0)</f>
        <v>1.968458268780042</v>
      </c>
      <c r="F25" s="297">
        <f>IFERROR(('Historical FS'!F60+'Historical FS'!F67)/'Historical FS'!F56,0)</f>
        <v>1.3981018296443499</v>
      </c>
      <c r="G25" s="297">
        <f>IFERROR(('Historical FS'!G60+'Historical FS'!G67)/'Historical FS'!G56,0)</f>
        <v>1.3980003570790933</v>
      </c>
      <c r="H25" s="297">
        <f>IFERROR(('Historical FS'!H60+'Historical FS'!H67)/'Historical FS'!H56,0)</f>
        <v>1.1477447614537706</v>
      </c>
      <c r="I25" s="297">
        <f>IFERROR(('Historical FS'!I60+'Historical FS'!I67)/'Historical FS'!I56,0)</f>
        <v>0.87836642677534038</v>
      </c>
      <c r="J25" s="297">
        <f>IFERROR(('Historical FS'!J60+'Historical FS'!J67)/'Historical FS'!J56,0)</f>
        <v>0.48233453800097087</v>
      </c>
      <c r="K25" s="297">
        <f>IFERROR(('Historical FS'!K60+'Historical FS'!K67)/'Historical FS'!K56,0)</f>
        <v>0.36391091875438453</v>
      </c>
      <c r="L25" s="297">
        <f>IFERROR(('Historical FS'!L60+'Historical FS'!L67)/'Historical FS'!L56,0)</f>
        <v>0.48718655967903707</v>
      </c>
      <c r="M25" s="283"/>
      <c r="N25" s="299">
        <f ca="1">IFERROR(('The 3-Statement Projection'!D39+'The 3-Statement Projection'!D45+'The 3-Statement Projection'!D46)/'The 3-Statement Projection'!D36,0)</f>
        <v>0.80166061961227419</v>
      </c>
      <c r="O25" s="299">
        <f ca="1">IFERROR(('The 3-Statement Projection'!E39+'The 3-Statement Projection'!E45+'The 3-Statement Projection'!E46)/'The 3-Statement Projection'!E36,0)</f>
        <v>0.46896985029526378</v>
      </c>
      <c r="P25" s="299">
        <f ca="1">IFERROR(('The 3-Statement Projection'!F39+'The 3-Statement Projection'!F45+'The 3-Statement Projection'!F46)/'The 3-Statement Projection'!F36,0)</f>
        <v>0.3415490680049349</v>
      </c>
      <c r="Q25" s="299">
        <f ca="1">IFERROR(('The 3-Statement Projection'!G39+'The 3-Statement Projection'!G45+'The 3-Statement Projection'!G46)/'The 3-Statement Projection'!G36,0)</f>
        <v>0.26193046421660887</v>
      </c>
      <c r="R25" s="299">
        <f ca="1">IFERROR(('The 3-Statement Projection'!H39+'The 3-Statement Projection'!H45+'The 3-Statement Projection'!H46)/'The 3-Statement Projection'!H36,0)</f>
        <v>0.19935347091721367</v>
      </c>
      <c r="S25" s="299">
        <f ca="1">IFERROR(('The 3-Statement Projection'!I39+'The 3-Statement Projection'!I45+'The 3-Statement Projection'!I46)/'The 3-Statement Projection'!I36,0)</f>
        <v>0.1488242324266067</v>
      </c>
      <c r="T25" s="299">
        <f ca="1">IFERROR(('The 3-Statement Projection'!J39+'The 3-Statement Projection'!J45+'The 3-Statement Projection'!J46)/'The 3-Statement Projection'!J36,0)</f>
        <v>0.10724597271708765</v>
      </c>
      <c r="U25" s="299">
        <f ca="1">IFERROR(('The 3-Statement Projection'!K39+'The 3-Statement Projection'!K45+'The 3-Statement Projection'!K46)/'The 3-Statement Projection'!K36,0)</f>
        <v>7.2497134470190225E-2</v>
      </c>
      <c r="V25" s="285" t="s">
        <v>406</v>
      </c>
      <c r="W25" s="286" t="s">
        <v>407</v>
      </c>
    </row>
    <row r="26" spans="1:23" ht="64.5" customHeight="1" x14ac:dyDescent="0.3">
      <c r="A26" s="2"/>
      <c r="B26" s="281" t="s">
        <v>408</v>
      </c>
      <c r="C26" s="297">
        <f>IFERROR('Historical FS'!C26/'Historical FS'!C29,0)</f>
        <v>-3.680988184747584</v>
      </c>
      <c r="D26" s="297">
        <f>IFERROR('Historical FS'!D26/'Historical FS'!D29,0)</f>
        <v>1.5146198830409345</v>
      </c>
      <c r="E26" s="297">
        <f>IFERROR('Historical FS'!E26/'Historical FS'!E29,0)</f>
        <v>2.2637197664720605</v>
      </c>
      <c r="F26" s="297">
        <f>IFERROR('Historical FS'!F26/'Historical FS'!F29,0)</f>
        <v>2.067778180500182</v>
      </c>
      <c r="G26" s="297">
        <f>IFERROR('Historical FS'!G26/'Historical FS'!G29,0)</f>
        <v>0.63458937198067722</v>
      </c>
      <c r="H26" s="297">
        <f>IFERROR('Historical FS'!H26/'Historical FS'!H29,0)</f>
        <v>2.5039246467817904</v>
      </c>
      <c r="I26" s="297">
        <f>IFERROR('Historical FS'!I26/'Historical FS'!I29,0)</f>
        <v>10.174735032941857</v>
      </c>
      <c r="J26" s="297">
        <f>IFERROR('Historical FS'!J26/'Historical FS'!J29,0)</f>
        <v>7.183132530120492</v>
      </c>
      <c r="K26" s="297">
        <f>IFERROR('Historical FS'!K26/'Historical FS'!K29,0)</f>
        <v>3.5546914199698874</v>
      </c>
      <c r="L26" s="297">
        <f>IFERROR('Historical FS'!L26/'Historical FS'!L29,0)</f>
        <v>5.0569979110713259</v>
      </c>
      <c r="M26" s="283"/>
      <c r="N26" s="299">
        <f ca="1">IFERROR('The 3-Statement Projection'!D19/'The 3-Statement Projection'!D21,0)</f>
        <v>5.6278392555633037</v>
      </c>
      <c r="O26" s="299">
        <f ca="1">IFERROR('The 3-Statement Projection'!E19/'The 3-Statement Projection'!E21,0)</f>
        <v>6.7629353563220542</v>
      </c>
      <c r="P26" s="299">
        <f ca="1">IFERROR('The 3-Statement Projection'!F19/'The 3-Statement Projection'!F21,0)</f>
        <v>8.9549228031020114</v>
      </c>
      <c r="Q26" s="299">
        <f ca="1">IFERROR('The 3-Statement Projection'!G19/'The 3-Statement Projection'!G21,0)</f>
        <v>10.266554938762718</v>
      </c>
      <c r="R26" s="299">
        <f ca="1">IFERROR('The 3-Statement Projection'!H19/'The 3-Statement Projection'!H21,0)</f>
        <v>11.759504028616654</v>
      </c>
      <c r="S26" s="299">
        <f ca="1">IFERROR('The 3-Statement Projection'!I19/'The 3-Statement Projection'!I21,0)</f>
        <v>13.77054592792684</v>
      </c>
      <c r="T26" s="299">
        <f ca="1">IFERROR('The 3-Statement Projection'!J19/'The 3-Statement Projection'!J21,0)</f>
        <v>16.638952882832655</v>
      </c>
      <c r="U26" s="299">
        <f ca="1">IFERROR('The 3-Statement Projection'!K19/'The 3-Statement Projection'!K21,0)</f>
        <v>21.063325864308553</v>
      </c>
      <c r="V26" s="285" t="s">
        <v>409</v>
      </c>
      <c r="W26" s="286" t="s">
        <v>410</v>
      </c>
    </row>
    <row r="27" spans="1:23" ht="14.25" customHeight="1" x14ac:dyDescent="0.3">
      <c r="A27" s="2"/>
      <c r="B27" s="281"/>
      <c r="C27" s="281"/>
      <c r="D27" s="281"/>
      <c r="E27" s="281"/>
      <c r="F27" s="281"/>
      <c r="G27" s="281"/>
      <c r="H27" s="281"/>
      <c r="I27" s="281"/>
      <c r="J27" s="281"/>
      <c r="K27" s="281"/>
      <c r="L27" s="281"/>
      <c r="M27" s="283"/>
      <c r="N27" s="287"/>
      <c r="O27" s="287"/>
      <c r="P27" s="287"/>
      <c r="Q27" s="287"/>
      <c r="R27" s="287"/>
      <c r="S27" s="287"/>
      <c r="T27" s="287"/>
      <c r="U27" s="287"/>
      <c r="V27" s="285"/>
      <c r="W27" s="288"/>
    </row>
    <row r="28" spans="1:23" ht="14.25" customHeight="1" x14ac:dyDescent="0.3">
      <c r="A28" s="2"/>
      <c r="B28" s="296" t="s">
        <v>411</v>
      </c>
      <c r="C28" s="296"/>
      <c r="D28" s="296"/>
      <c r="E28" s="296"/>
      <c r="F28" s="296"/>
      <c r="G28" s="296"/>
      <c r="H28" s="296"/>
      <c r="I28" s="296"/>
      <c r="J28" s="296"/>
      <c r="K28" s="296"/>
      <c r="L28" s="296"/>
      <c r="M28" s="296"/>
      <c r="N28" s="296"/>
      <c r="O28" s="296"/>
      <c r="P28" s="296"/>
      <c r="Q28" s="296"/>
      <c r="R28" s="296"/>
      <c r="S28" s="296"/>
      <c r="T28" s="296"/>
      <c r="U28" s="296"/>
      <c r="V28" s="285"/>
      <c r="W28" s="77"/>
    </row>
    <row r="29" spans="1:23" ht="14.25" customHeight="1" x14ac:dyDescent="0.3">
      <c r="A29" s="2"/>
      <c r="B29" s="293"/>
      <c r="C29" s="293"/>
      <c r="D29" s="293"/>
      <c r="E29" s="293"/>
      <c r="F29" s="293"/>
      <c r="G29" s="293"/>
      <c r="H29" s="293"/>
      <c r="I29" s="293"/>
      <c r="J29" s="293"/>
      <c r="K29" s="293"/>
      <c r="L29" s="293"/>
      <c r="M29" s="293"/>
      <c r="N29" s="294"/>
      <c r="O29" s="294"/>
      <c r="P29" s="294"/>
      <c r="Q29" s="294"/>
      <c r="R29" s="294"/>
      <c r="S29" s="294"/>
      <c r="T29" s="294"/>
      <c r="U29" s="294"/>
      <c r="V29" s="285"/>
      <c r="W29" s="207"/>
    </row>
    <row r="30" spans="1:23" ht="64.5" customHeight="1" x14ac:dyDescent="0.3">
      <c r="A30" s="2"/>
      <c r="B30" s="281" t="s">
        <v>412</v>
      </c>
      <c r="C30" s="282">
        <f>IFERROR('Historical FS'!C26/('Historical FS'!C56+'Historical FS'!C63),0)</f>
        <v>-0.39876658133581583</v>
      </c>
      <c r="D30" s="282">
        <f>IFERROR('Historical FS'!D26/('Historical FS'!D56+'Historical FS'!D63),0)</f>
        <v>0.12919992276004108</v>
      </c>
      <c r="E30" s="282">
        <f>IFERROR('Historical FS'!E26/('Historical FS'!E56+'Historical FS'!E63),0)</f>
        <v>0.17354219948849109</v>
      </c>
      <c r="F30" s="282">
        <f>IFERROR('Historical FS'!F26/('Historical FS'!F56+'Historical FS'!F63),0)</f>
        <v>0.15312764215640226</v>
      </c>
      <c r="G30" s="282">
        <f>IFERROR('Historical FS'!G26/('Historical FS'!G56+'Historical FS'!G63),0)</f>
        <v>4.5923647042371764E-2</v>
      </c>
      <c r="H30" s="282">
        <f>IFERROR('Historical FS'!H26/('Historical FS'!H56+'Historical FS'!H63),0)</f>
        <v>0.1635499045104398</v>
      </c>
      <c r="I30" s="282">
        <f>IFERROR('Historical FS'!I26/('Historical FS'!I56+'Historical FS'!I63),0)</f>
        <v>0.31029422042071442</v>
      </c>
      <c r="J30" s="282">
        <f>IFERROR('Historical FS'!J26/('Historical FS'!J56+'Historical FS'!J63),0)</f>
        <v>0.21039258932509958</v>
      </c>
      <c r="K30" s="282">
        <f>IFERROR('Historical FS'!K26/('Historical FS'!K56+'Historical FS'!K63),0)</f>
        <v>0.11664512517390958</v>
      </c>
      <c r="L30" s="282">
        <f>IFERROR('Historical FS'!L26/('Historical FS'!L56+'Historical FS'!L63),0)</f>
        <v>0.14702029272186226</v>
      </c>
      <c r="M30" s="283"/>
      <c r="N30" s="284">
        <f ca="1">IFERROR('The 3-Statement Projection'!D19/('The 3-Statement Projection'!D36+'The 3-Statement Projection'!D42),0)</f>
        <v>0.26225183218713838</v>
      </c>
      <c r="O30" s="284">
        <f ca="1">IFERROR('The 3-Statement Projection'!E19/('The 3-Statement Projection'!E36+'The 3-Statement Projection'!E42),0)</f>
        <v>0.2288609914062614</v>
      </c>
      <c r="P30" s="284">
        <f ca="1">IFERROR('The 3-Statement Projection'!F19/('The 3-Statement Projection'!F36+'The 3-Statement Projection'!F42),0)</f>
        <v>0.21680430538062834</v>
      </c>
      <c r="Q30" s="284">
        <f ca="1">IFERROR('The 3-Statement Projection'!G19/('The 3-Statement Projection'!G36+'The 3-Statement Projection'!G42),0)</f>
        <v>0.2057906420966599</v>
      </c>
      <c r="R30" s="284">
        <f ca="1">IFERROR('The 3-Statement Projection'!H19/('The 3-Statement Projection'!H36+'The 3-Statement Projection'!H42),0)</f>
        <v>0.19323932034190761</v>
      </c>
      <c r="S30" s="284">
        <f ca="1">IFERROR('The 3-Statement Projection'!I19/('The 3-Statement Projection'!I36+'The 3-Statement Projection'!I42),0)</f>
        <v>0.18196167267941968</v>
      </c>
      <c r="T30" s="284">
        <f ca="1">IFERROR('The 3-Statement Projection'!J19/('The 3-Statement Projection'!J36+'The 3-Statement Projection'!J42),0)</f>
        <v>0.17176525532516645</v>
      </c>
      <c r="U30" s="284">
        <f ca="1">IFERROR('The 3-Statement Projection'!K19/('The 3-Statement Projection'!K36+'The 3-Statement Projection'!K42),0)</f>
        <v>0.16249583634207201</v>
      </c>
      <c r="V30" s="285" t="s">
        <v>413</v>
      </c>
      <c r="W30" s="286" t="s">
        <v>414</v>
      </c>
    </row>
    <row r="31" spans="1:23" ht="64.5" customHeight="1" x14ac:dyDescent="0.3">
      <c r="A31" s="2"/>
      <c r="B31" s="281" t="s">
        <v>415</v>
      </c>
      <c r="C31" s="282" t="s">
        <v>218</v>
      </c>
      <c r="D31" s="282">
        <f>IFERROR(('Historical FS'!D54-'Historical FS'!C54)/'Historical FS'!D42,0)</f>
        <v>-0.12453454695904041</v>
      </c>
      <c r="E31" s="282">
        <f>IFERROR(('Historical FS'!E54-'Historical FS'!D54)/'Historical FS'!E42,0)</f>
        <v>2.0841350358579658</v>
      </c>
      <c r="F31" s="282">
        <f>IFERROR(('Historical FS'!F54-'Historical FS'!E54)/'Historical FS'!F42,0)</f>
        <v>1.0004986287708788</v>
      </c>
      <c r="G31" s="282">
        <f>IFERROR(('Historical FS'!G54-'Historical FS'!F54)/'Historical FS'!G42,0)</f>
        <v>1.0051063829787275</v>
      </c>
      <c r="H31" s="282">
        <f>IFERROR(('Historical FS'!H54-'Historical FS'!G54)/'Historical FS'!H42,0)</f>
        <v>0.9996543380573798</v>
      </c>
      <c r="I31" s="282">
        <f>IFERROR(('Historical FS'!I54-'Historical FS'!H54)/'Historical FS'!I42,0)</f>
        <v>0.99983250282651359</v>
      </c>
      <c r="J31" s="282">
        <f>IFERROR(('Historical FS'!J54-'Historical FS'!I54)/'Historical FS'!J42,0)</f>
        <v>0.9995757061461974</v>
      </c>
      <c r="K31" s="282">
        <f>IFERROR(('Historical FS'!K54-'Historical FS'!J54)/'Historical FS'!K42,0)</f>
        <v>0.99949758842444036</v>
      </c>
      <c r="L31" s="282">
        <f>IFERROR(('Historical FS'!L54-'Historical FS'!K54)/'Historical FS'!L42,0)</f>
        <v>-0.31928446771378705</v>
      </c>
      <c r="M31" s="283"/>
      <c r="N31" s="284">
        <f ca="1">IFERROR(('The 3-Statement Projection'!D35-'The 3-Statement Projection'!C35)/'The 3-Statement Projection'!D27,0)</f>
        <v>-0.14530989780802475</v>
      </c>
      <c r="O31" s="284">
        <f ca="1">IFERROR(('The 3-Statement Projection'!E35-'The 3-Statement Projection'!D35)/'The 3-Statement Projection'!E27,0)</f>
        <v>0.64528875500828253</v>
      </c>
      <c r="P31" s="284">
        <f ca="1">IFERROR(('The 3-Statement Projection'!F35-'The 3-Statement Projection'!E35)/'The 3-Statement Projection'!F27,0)</f>
        <v>0.64803803106788671</v>
      </c>
      <c r="Q31" s="284">
        <f ca="1">IFERROR(('The 3-Statement Projection'!G35-'The 3-Statement Projection'!F35)/'The 3-Statement Projection'!G27,0)</f>
        <v>0.64935622452071673</v>
      </c>
      <c r="R31" s="284">
        <f ca="1">IFERROR(('The 3-Statement Projection'!H35-'The 3-Statement Projection'!G35)/'The 3-Statement Projection'!H27,0)</f>
        <v>0.64983361987271859</v>
      </c>
      <c r="S31" s="284">
        <f ca="1">IFERROR(('The 3-Statement Projection'!I35-'The 3-Statement Projection'!H35)/'The 3-Statement Projection'!I27,0)</f>
        <v>0.65029423898494698</v>
      </c>
      <c r="T31" s="284">
        <f ca="1">IFERROR(('The 3-Statement Projection'!J35-'The 3-Statement Projection'!I35)/'The 3-Statement Projection'!J27,0)</f>
        <v>0.65074086228847872</v>
      </c>
      <c r="U31" s="284">
        <f ca="1">IFERROR(('The 3-Statement Projection'!K35-'The 3-Statement Projection'!J35)/'The 3-Statement Projection'!K27,0)</f>
        <v>0.65117387720657904</v>
      </c>
      <c r="V31" s="285" t="s">
        <v>416</v>
      </c>
      <c r="W31" s="286" t="s">
        <v>417</v>
      </c>
    </row>
    <row r="32" spans="1:23" ht="49.5" customHeight="1" x14ac:dyDescent="0.3">
      <c r="A32" s="2"/>
      <c r="B32" s="281" t="s">
        <v>418</v>
      </c>
      <c r="C32" s="282">
        <f>IFERROR('Historical FS'!C42/'Historical FS'!C56,0)</f>
        <v>-0.37469330529267453</v>
      </c>
      <c r="D32" s="282">
        <f>IFERROR('Historical FS'!D42/'Historical FS'!D56,0)</f>
        <v>0.18230502338210847</v>
      </c>
      <c r="E32" s="282">
        <f>IFERROR('Historical FS'!E42/'Historical FS'!E56,0)</f>
        <v>0.22710840980415542</v>
      </c>
      <c r="F32" s="282">
        <f>IFERROR('Historical FS'!F42/'Historical FS'!F56,0)</f>
        <v>0.13742890426917029</v>
      </c>
      <c r="G32" s="282">
        <f>IFERROR('Historical FS'!G42/'Historical FS'!G56,0)</f>
        <v>-4.1956793429744531E-2</v>
      </c>
      <c r="H32" s="282">
        <f>IFERROR('Historical FS'!H42/'Historical FS'!H56,0)</f>
        <v>0.17124422872025574</v>
      </c>
      <c r="I32" s="282">
        <f>IFERROR('Historical FS'!I42/'Historical FS'!I56,0)</f>
        <v>0.41413335645538935</v>
      </c>
      <c r="J32" s="282">
        <f>IFERROR('Historical FS'!J42/'Historical FS'!J56,0)</f>
        <v>0.22247694050380334</v>
      </c>
      <c r="K32" s="282">
        <f>IFERROR('Historical FS'!K42/'Historical FS'!K56,0)</f>
        <v>0.11833109401567093</v>
      </c>
      <c r="L32" s="282">
        <f>IFERROR('Historical FS'!L42/'Historical FS'!L56,0)</f>
        <v>0.14368104312938831</v>
      </c>
      <c r="M32" s="283"/>
      <c r="N32" s="284">
        <f ca="1">IFERROR('The 3-Statement Projection'!D27/'The 3-Statement Projection'!D36,0)</f>
        <v>0.29525938175744099</v>
      </c>
      <c r="O32" s="284">
        <f ca="1">IFERROR('The 3-Statement Projection'!E27/'The 3-Statement Projection'!E36,0)</f>
        <v>0.22353804057440649</v>
      </c>
      <c r="P32" s="284">
        <f ca="1">IFERROR('The 3-Statement Projection'!F27/'The 3-Statement Projection'!F36,0)</f>
        <v>0.20421697202789243</v>
      </c>
      <c r="Q32" s="284">
        <f ca="1">IFERROR('The 3-Statement Projection'!G27/'The 3-Statement Projection'!G36,0)</f>
        <v>0.18443766738413866</v>
      </c>
      <c r="R32" s="284">
        <f ca="1">IFERROR('The 3-Statement Projection'!H27/'The 3-Statement Projection'!H36,0)</f>
        <v>0.16609612694837175</v>
      </c>
      <c r="S32" s="284">
        <f ca="1">IFERROR('The 3-Statement Projection'!I27/'The 3-Statement Projection'!I36,0)</f>
        <v>0.15115732064251539</v>
      </c>
      <c r="T32" s="284">
        <f ca="1">IFERROR('The 3-Statement Projection'!J27/'The 3-Statement Projection'!J36,0)</f>
        <v>0.13875550583685164</v>
      </c>
      <c r="U32" s="284">
        <f ca="1">IFERROR('The 3-Statement Projection'!K27/'The 3-Statement Projection'!K36,0)</f>
        <v>0.1282916049811608</v>
      </c>
      <c r="V32" s="285" t="s">
        <v>419</v>
      </c>
      <c r="W32" s="286" t="s">
        <v>420</v>
      </c>
    </row>
    <row r="33" spans="1:23" ht="49.5" customHeight="1" x14ac:dyDescent="0.3">
      <c r="A33" s="2"/>
      <c r="B33" s="281" t="s">
        <v>421</v>
      </c>
      <c r="C33" s="282" t="s">
        <v>218</v>
      </c>
      <c r="D33" s="282">
        <f t="shared" ref="D33:L33" si="0">IFERROR(D32*D31,0)</f>
        <v>-2.2703273495248148E-2</v>
      </c>
      <c r="E33" s="282">
        <f t="shared" si="0"/>
        <v>0.47332459381082903</v>
      </c>
      <c r="F33" s="282">
        <f t="shared" si="0"/>
        <v>0.13749743027478925</v>
      </c>
      <c r="G33" s="282">
        <f t="shared" si="0"/>
        <v>-4.2171040885556163E-2</v>
      </c>
      <c r="H33" s="282">
        <f t="shared" si="0"/>
        <v>0.1711850361074938</v>
      </c>
      <c r="I33" s="282">
        <f t="shared" si="0"/>
        <v>0.41406399028873664</v>
      </c>
      <c r="J33" s="282">
        <f t="shared" si="0"/>
        <v>0.22238254490533477</v>
      </c>
      <c r="K33" s="282">
        <f t="shared" si="0"/>
        <v>0.11827164310428882</v>
      </c>
      <c r="L33" s="282">
        <f t="shared" si="0"/>
        <v>-4.587512537612843E-2</v>
      </c>
      <c r="M33" s="283"/>
      <c r="N33" s="284">
        <f t="shared" ref="N33:Q33" ca="1" si="1">IFERROR(N32*N31,0)</f>
        <v>-4.2904110590034315E-2</v>
      </c>
      <c r="O33" s="284">
        <f t="shared" ca="1" si="1"/>
        <v>0.14424658389924971</v>
      </c>
      <c r="P33" s="284">
        <f t="shared" ca="1" si="1"/>
        <v>0.13234036446360112</v>
      </c>
      <c r="Q33" s="284">
        <f t="shared" ca="1" si="1"/>
        <v>0.11976574735197203</v>
      </c>
      <c r="R33" s="284">
        <f t="shared" ref="R33" ca="1" si="2">IFERROR(R32*R31,0)</f>
        <v>0.10793484742169902</v>
      </c>
      <c r="S33" s="284">
        <f t="shared" ref="S33" ca="1" si="3">IFERROR(S32*S31,0)</f>
        <v>9.8296734794228166E-2</v>
      </c>
      <c r="T33" s="284">
        <f t="shared" ref="T33" ca="1" si="4">IFERROR(T32*T31,0)</f>
        <v>9.0293877515546878E-2</v>
      </c>
      <c r="U33" s="284">
        <f t="shared" ref="U33" ca="1" si="5">IFERROR(U32*U31,0)</f>
        <v>8.3540141828637338E-2</v>
      </c>
      <c r="V33" s="285" t="s">
        <v>422</v>
      </c>
      <c r="W33" s="286" t="s">
        <v>423</v>
      </c>
    </row>
    <row r="34" spans="1:23" ht="14.25" customHeight="1" x14ac:dyDescent="0.3">
      <c r="A34" s="2"/>
      <c r="B34" s="281"/>
      <c r="C34" s="281"/>
      <c r="D34" s="281"/>
      <c r="E34" s="281"/>
      <c r="F34" s="281"/>
      <c r="G34" s="281"/>
      <c r="H34" s="281"/>
      <c r="I34" s="281"/>
      <c r="J34" s="281"/>
      <c r="K34" s="281"/>
      <c r="L34" s="281"/>
      <c r="M34" s="283"/>
      <c r="N34" s="292"/>
      <c r="O34" s="292"/>
      <c r="P34" s="292"/>
      <c r="Q34" s="292"/>
      <c r="R34" s="292"/>
      <c r="S34" s="292"/>
      <c r="T34" s="292"/>
      <c r="U34" s="292"/>
      <c r="V34" s="285"/>
      <c r="W34" s="288"/>
    </row>
    <row r="35" spans="1:23" ht="14.25" customHeight="1" x14ac:dyDescent="0.3">
      <c r="A35" s="2"/>
      <c r="B35" s="296" t="s">
        <v>424</v>
      </c>
      <c r="C35" s="296"/>
      <c r="D35" s="296"/>
      <c r="E35" s="296"/>
      <c r="F35" s="296"/>
      <c r="G35" s="296"/>
      <c r="H35" s="296"/>
      <c r="I35" s="296"/>
      <c r="J35" s="296"/>
      <c r="K35" s="296"/>
      <c r="L35" s="296"/>
      <c r="M35" s="296"/>
      <c r="N35" s="296"/>
      <c r="O35" s="296"/>
      <c r="P35" s="296"/>
      <c r="Q35" s="296"/>
      <c r="R35" s="296"/>
      <c r="S35" s="296"/>
      <c r="T35" s="296"/>
      <c r="U35" s="296"/>
      <c r="V35" s="285"/>
      <c r="W35" s="291"/>
    </row>
    <row r="36" spans="1:23" ht="49.5" customHeight="1" x14ac:dyDescent="0.3">
      <c r="A36" s="2"/>
      <c r="B36" s="300" t="s">
        <v>425</v>
      </c>
      <c r="C36" s="301">
        <f>IFERROR('Historical FS'!C5/'Historical FS'!C90,0)</f>
        <v>19.695437053326</v>
      </c>
      <c r="D36" s="301">
        <f>IFERROR('Historical FS'!D5/'Historical FS'!D90,0)</f>
        <v>24.349035608308608</v>
      </c>
      <c r="E36" s="301">
        <f>IFERROR('Historical FS'!E5/'Historical FS'!E90,0)</f>
        <v>25.89387755102041</v>
      </c>
      <c r="F36" s="301">
        <f>IFERROR('Historical FS'!F5/'Historical FS'!F90,0)</f>
        <v>72.476411446249031</v>
      </c>
      <c r="G36" s="301">
        <f>IFERROR('Historical FS'!G5/'Historical FS'!G90,0)</f>
        <v>88.573255813953494</v>
      </c>
      <c r="H36" s="301">
        <f>IFERROR('Historical FS'!H5/'Historical FS'!H90,0)</f>
        <v>15.961112272632242</v>
      </c>
      <c r="I36" s="301">
        <f>IFERROR('Historical FS'!I5/'Historical FS'!I90,0)</f>
        <v>11.408652521355746</v>
      </c>
      <c r="J36" s="301">
        <f>IFERROR('Historical FS'!J5/'Historical FS'!J90,0)</f>
        <v>53.06549520766773</v>
      </c>
      <c r="K36" s="301">
        <f>IFERROR('Historical FS'!K5/'Historical FS'!K90,0)</f>
        <v>20.457856399583772</v>
      </c>
      <c r="L36" s="301">
        <f>IFERROR('Historical FS'!L5/'Historical FS'!L90,0)</f>
        <v>16.396477700867433</v>
      </c>
      <c r="M36" s="302"/>
      <c r="N36" s="303">
        <f>IFERROR('The 3-Statement Projection'!D6/'The 3-Statement Projection'!D65,0)</f>
        <v>11.012024802733668</v>
      </c>
      <c r="O36" s="303">
        <f>IFERROR('The 3-Statement Projection'!E6/'The 3-Statement Projection'!E65,0)</f>
        <v>11.279885991733972</v>
      </c>
      <c r="P36" s="303">
        <f>IFERROR('The 3-Statement Projection'!F6/'The 3-Statement Projection'!F65,0)</f>
        <v>11.591256676905253</v>
      </c>
      <c r="Q36" s="303">
        <f>IFERROR('The 3-Statement Projection'!G6/'The 3-Statement Projection'!G65,0)</f>
        <v>11.620779842261411</v>
      </c>
      <c r="R36" s="303">
        <f>IFERROR('The 3-Statement Projection'!H6/'The 3-Statement Projection'!H65,0)</f>
        <v>11.620779842261411</v>
      </c>
      <c r="S36" s="303">
        <f>IFERROR('The 3-Statement Projection'!I6/'The 3-Statement Projection'!I65,0)</f>
        <v>11.620779842261411</v>
      </c>
      <c r="T36" s="303">
        <f>IFERROR('The 3-Statement Projection'!J6/'The 3-Statement Projection'!J65,0)</f>
        <v>11.620779842261411</v>
      </c>
      <c r="U36" s="303">
        <f>IFERROR('The 3-Statement Projection'!K6/'The 3-Statement Projection'!K65,0)</f>
        <v>11.620779842261411</v>
      </c>
      <c r="V36" s="285" t="s">
        <v>426</v>
      </c>
      <c r="W36" s="286" t="s">
        <v>427</v>
      </c>
    </row>
    <row r="37" spans="1:23" ht="49.5" customHeight="1" x14ac:dyDescent="0.3">
      <c r="A37" s="2"/>
      <c r="B37" s="281" t="s">
        <v>428</v>
      </c>
      <c r="C37" s="297">
        <f>IFERROR('Historical FS'!C8/'Historical FS'!C68,0)</f>
        <v>2.5479876160990713</v>
      </c>
      <c r="D37" s="297">
        <f>IFERROR('Historical FS'!D8/'Historical FS'!D68,0)</f>
        <v>2.1796541372457829</v>
      </c>
      <c r="E37" s="297">
        <f>IFERROR('Historical FS'!E8/'Historical FS'!E68,0)</f>
        <v>13.719798994974873</v>
      </c>
      <c r="F37" s="297">
        <f>IFERROR('Historical FS'!F8/'Historical FS'!F68,0)</f>
        <v>11.579957028852057</v>
      </c>
      <c r="G37" s="297">
        <f>IFERROR('Historical FS'!G8/'Historical FS'!G68,0)</f>
        <v>8.7615850447604</v>
      </c>
      <c r="H37" s="297">
        <f>IFERROR('Historical FS'!H8/'Historical FS'!H68,0)</f>
        <v>52.714153561517115</v>
      </c>
      <c r="I37" s="297">
        <f>IFERROR('Historical FS'!I8/'Historical FS'!I68,0)</f>
        <v>2.2571532458814647</v>
      </c>
      <c r="J37" s="297">
        <f>IFERROR('Historical FS'!J8/'Historical FS'!J68,0)</f>
        <v>5.5939466988080877</v>
      </c>
      <c r="K37" s="297">
        <f>IFERROR('Historical FS'!K8/'Historical FS'!K68,0)</f>
        <v>2.155399303315702</v>
      </c>
      <c r="L37" s="297">
        <f>IFERROR('Historical FS'!L8/'Historical FS'!L68,0)</f>
        <v>4.2681169235770593</v>
      </c>
      <c r="M37" s="302"/>
      <c r="N37" s="299">
        <f>IFERROR('The 3-Statement Projection'!D9/'The 3-Statement Projection'!D47,0)</f>
        <v>9.1250000000000018</v>
      </c>
      <c r="O37" s="299">
        <f>IFERROR('The 3-Statement Projection'!E9/'The 3-Statement Projection'!E47,0)</f>
        <v>9.125</v>
      </c>
      <c r="P37" s="299">
        <f>IFERROR('The 3-Statement Projection'!F9/'The 3-Statement Projection'!F47,0)</f>
        <v>9.125</v>
      </c>
      <c r="Q37" s="299">
        <f>IFERROR('The 3-Statement Projection'!G9/'The 3-Statement Projection'!G47,0)</f>
        <v>9.125</v>
      </c>
      <c r="R37" s="299">
        <f>IFERROR('The 3-Statement Projection'!H9/'The 3-Statement Projection'!H47,0)</f>
        <v>9.125</v>
      </c>
      <c r="S37" s="299">
        <f>IFERROR('The 3-Statement Projection'!I9/'The 3-Statement Projection'!I47,0)</f>
        <v>9.125</v>
      </c>
      <c r="T37" s="299">
        <f>IFERROR('The 3-Statement Projection'!J9/'The 3-Statement Projection'!J47,0)</f>
        <v>9.125</v>
      </c>
      <c r="U37" s="299">
        <f>IFERROR('The 3-Statement Projection'!K9/'The 3-Statement Projection'!K47,0)</f>
        <v>9.125</v>
      </c>
      <c r="V37" s="285" t="s">
        <v>429</v>
      </c>
      <c r="W37" s="286" t="s">
        <v>430</v>
      </c>
    </row>
    <row r="38" spans="1:23" ht="49.5" customHeight="1" x14ac:dyDescent="0.3">
      <c r="A38" s="2"/>
      <c r="B38" s="281" t="s">
        <v>431</v>
      </c>
      <c r="C38" s="297">
        <f>IFERROR('Historical FS'!C8/'Historical FS'!C89,0)</f>
        <v>3.2228271251193887</v>
      </c>
      <c r="D38" s="297">
        <f>IFERROR('Historical FS'!D8/'Historical FS'!D89,0)</f>
        <v>3.2935727063634044</v>
      </c>
      <c r="E38" s="297">
        <f>IFERROR('Historical FS'!E8/'Historical FS'!E89,0)</f>
        <v>12.460021905805037</v>
      </c>
      <c r="F38" s="297">
        <f>IFERROR('Historical FS'!F8/'Historical FS'!F89,0)</f>
        <v>5.3731396425265254</v>
      </c>
      <c r="G38" s="297">
        <f>IFERROR('Historical FS'!G8/'Historical FS'!G89,0)</f>
        <v>4.8660524968925927</v>
      </c>
      <c r="H38" s="297">
        <f>IFERROR('Historical FS'!H8/'Historical FS'!H89,0)</f>
        <v>5.7069604406609917</v>
      </c>
      <c r="I38" s="297">
        <f>IFERROR('Historical FS'!I8/'Historical FS'!I89,0)</f>
        <v>1.3375764506986225</v>
      </c>
      <c r="J38" s="297">
        <f>IFERROR('Historical FS'!J8/'Historical FS'!J89,0)</f>
        <v>5.8801999014570274</v>
      </c>
      <c r="K38" s="297">
        <f>IFERROR('Historical FS'!K8/'Historical FS'!K89,0)</f>
        <v>3.930709958237752</v>
      </c>
      <c r="L38" s="297">
        <f>IFERROR('Historical FS'!L8/'Historical FS'!L89,0)</f>
        <v>4.9019601742377104</v>
      </c>
      <c r="M38" s="302"/>
      <c r="N38" s="299">
        <f>IFERROR('The 3-Statement Projection'!D9/'The 3-Statement Projection'!D65,0)</f>
        <v>8.4883720930232567</v>
      </c>
      <c r="O38" s="299">
        <f>IFERROR('The 3-Statement Projection'!E9/'The 3-Statement Projection'!E65,0)</f>
        <v>8.9024390243902438</v>
      </c>
      <c r="P38" s="299">
        <f>IFERROR('The 3-Statement Projection'!F9/'The 3-Statement Projection'!F65,0)</f>
        <v>9.125</v>
      </c>
      <c r="Q38" s="299">
        <f>IFERROR('The 3-Statement Projection'!G9/'The 3-Statement Projection'!G65,0)</f>
        <v>9.125</v>
      </c>
      <c r="R38" s="299">
        <f>IFERROR('The 3-Statement Projection'!H9/'The 3-Statement Projection'!H65,0)</f>
        <v>9.125</v>
      </c>
      <c r="S38" s="299">
        <f>IFERROR('The 3-Statement Projection'!I9/'The 3-Statement Projection'!I65,0)</f>
        <v>9.125</v>
      </c>
      <c r="T38" s="299">
        <f>IFERROR('The 3-Statement Projection'!J9/'The 3-Statement Projection'!J65,0)</f>
        <v>9.125</v>
      </c>
      <c r="U38" s="299">
        <f>IFERROR('The 3-Statement Projection'!K9/'The 3-Statement Projection'!K65,0)</f>
        <v>9.125</v>
      </c>
      <c r="V38" s="285" t="s">
        <v>432</v>
      </c>
      <c r="W38" s="286" t="s">
        <v>433</v>
      </c>
    </row>
    <row r="39" spans="1:23" ht="49.5" customHeight="1" x14ac:dyDescent="0.3">
      <c r="A39" s="2"/>
      <c r="B39" s="281" t="s">
        <v>434</v>
      </c>
      <c r="C39" s="297">
        <f>IFERROR('Historical FS'!C5/'Historical FS'!C80,0)</f>
        <v>0.7793513019643673</v>
      </c>
      <c r="D39" s="297">
        <f>IFERROR('Historical FS'!D5/'Historical FS'!D80,0)</f>
        <v>1.5146515920627597</v>
      </c>
      <c r="E39" s="297">
        <f>IFERROR('Historical FS'!E5/'Historical FS'!E80,0)</f>
        <v>1.7612786800721836</v>
      </c>
      <c r="F39" s="297">
        <f>IFERROR('Historical FS'!F5/'Historical FS'!F80,0)</f>
        <v>1.9239549971257288</v>
      </c>
      <c r="G39" s="297">
        <f>IFERROR('Historical FS'!G5/'Historical FS'!G80,0)</f>
        <v>1.5219684708985195</v>
      </c>
      <c r="H39" s="297">
        <f>IFERROR('Historical FS'!H5/'Historical FS'!H80,0)</f>
        <v>1.5452907718154769</v>
      </c>
      <c r="I39" s="297">
        <f>IFERROR('Historical FS'!I5/'Historical FS'!I80,0)</f>
        <v>2.5183698296836985</v>
      </c>
      <c r="J39" s="297">
        <f>IFERROR('Historical FS'!J5/'Historical FS'!J80,0)</f>
        <v>4.2097326067672034</v>
      </c>
      <c r="K39" s="297">
        <f>IFERROR('Historical FS'!K5/'Historical FS'!K80,0)</f>
        <v>3.4116396607448869</v>
      </c>
      <c r="L39" s="297">
        <f>IFERROR('Historical FS'!L5/'Historical FS'!L80,0)</f>
        <v>2.3765033082305731</v>
      </c>
      <c r="M39" s="302"/>
      <c r="N39" s="299">
        <f>IFERROR('The 3-Statement Projection'!D6/'The 3-Statement Projection'!D57,0)</f>
        <v>2.2064026311805836</v>
      </c>
      <c r="O39" s="299">
        <f>IFERROR('The 3-Statement Projection'!E6/'The 3-Statement Projection'!E57,0)</f>
        <v>2.3871639928177704</v>
      </c>
      <c r="P39" s="299">
        <f>IFERROR('The 3-Statement Projection'!F6/'The 3-Statement Projection'!F57,0)</f>
        <v>2.4514674132644667</v>
      </c>
      <c r="Q39" s="299">
        <f>IFERROR('The 3-Statement Projection'!G6/'The 3-Statement Projection'!G57,0)</f>
        <v>2.5213128616997436</v>
      </c>
      <c r="R39" s="299">
        <f>IFERROR('The 3-Statement Projection'!H6/'The 3-Statement Projection'!H57,0)</f>
        <v>2.5974107480366375</v>
      </c>
      <c r="S39" s="299">
        <f>IFERROR('The 3-Statement Projection'!I6/'The 3-Statement Projection'!I57,0)</f>
        <v>2.6805984702266401</v>
      </c>
      <c r="T39" s="299">
        <f>IFERROR('The 3-Statement Projection'!J6/'The 3-Statement Projection'!J57,0)</f>
        <v>2.7718701187523136</v>
      </c>
      <c r="U39" s="299">
        <f>IFERROR('The 3-Statement Projection'!K6/'The 3-Statement Projection'!K57,0)</f>
        <v>2.8724149283948321</v>
      </c>
      <c r="V39" s="285" t="s">
        <v>435</v>
      </c>
      <c r="W39" s="286" t="s">
        <v>436</v>
      </c>
    </row>
    <row r="40" spans="1:23" ht="49.5" customHeight="1" x14ac:dyDescent="0.3">
      <c r="A40" s="2"/>
      <c r="B40" s="281" t="s">
        <v>437</v>
      </c>
      <c r="C40" s="297">
        <f>IFERROR('Historical FS'!C5/'Historical FS'!C56,0)</f>
        <v>4.1857693655800912</v>
      </c>
      <c r="D40" s="297">
        <f>IFERROR('Historical FS'!D5/'Historical FS'!D56,0)</f>
        <v>4.951350128224469</v>
      </c>
      <c r="E40" s="297">
        <f>IFERROR('Historical FS'!E5/'Historical FS'!E56,0)</f>
        <v>3.5282246851785644</v>
      </c>
      <c r="F40" s="297">
        <f>IFERROR('Historical FS'!F5/'Historical FS'!F56,0)</f>
        <v>3.2108545192900704</v>
      </c>
      <c r="G40" s="297">
        <f>IFERROR('Historical FS'!G5/'Historical FS'!G56,0)</f>
        <v>2.7199785752544194</v>
      </c>
      <c r="H40" s="297">
        <f>IFERROR('Historical FS'!H5/'Historical FS'!H56,0)</f>
        <v>2.2594412217355275</v>
      </c>
      <c r="I40" s="297">
        <f>IFERROR('Historical FS'!I5/'Historical FS'!I56,0)</f>
        <v>2.1539235238012662</v>
      </c>
      <c r="J40" s="297">
        <f>IFERROR('Historical FS'!J5/'Historical FS'!J56,0)</f>
        <v>2.6877663304385355</v>
      </c>
      <c r="K40" s="297">
        <f>IFERROR('Historical FS'!K5/'Historical FS'!K56,0)</f>
        <v>1.8700878684470235</v>
      </c>
      <c r="L40" s="297">
        <f>IFERROR('Historical FS'!L5/'Historical FS'!L56,0)</f>
        <v>2.3462011033099297</v>
      </c>
      <c r="M40" s="302"/>
      <c r="N40" s="299">
        <f ca="1">IFERROR('The 3-Statement Projection'!D6/'The 3-Statement Projection'!D36,0)</f>
        <v>2.721162660567177</v>
      </c>
      <c r="O40" s="299">
        <f ca="1">IFERROR('The 3-Statement Projection'!E6/'The 3-Statement Projection'!E36,0)</f>
        <v>2.4567631676123813</v>
      </c>
      <c r="P40" s="299">
        <f ca="1">IFERROR('The 3-Statement Projection'!F6/'The 3-Statement Projection'!F36,0)</f>
        <v>2.1316342346098081</v>
      </c>
      <c r="Q40" s="299">
        <f ca="1">IFERROR('The 3-Statement Projection'!G6/'The 3-Statement Projection'!G36,0)</f>
        <v>1.8763374674207154</v>
      </c>
      <c r="R40" s="299">
        <f ca="1">IFERROR('The 3-Statement Projection'!H6/'The 3-Statement Projection'!H36,0)</f>
        <v>1.6738152691630432</v>
      </c>
      <c r="S40" s="299">
        <f ca="1">IFERROR('The 3-Statement Projection'!I6/'The 3-Statement Projection'!I36,0)</f>
        <v>1.5092846935555939</v>
      </c>
      <c r="T40" s="299">
        <f ca="1">IFERROR('The 3-Statement Projection'!J6/'The 3-Statement Projection'!J36,0)</f>
        <v>1.3730055262995955</v>
      </c>
      <c r="U40" s="299">
        <f ca="1">IFERROR('The 3-Statement Projection'!K6/'The 3-Statement Projection'!K36,0)</f>
        <v>1.2583044499010245</v>
      </c>
      <c r="V40" s="285" t="s">
        <v>438</v>
      </c>
      <c r="W40" s="286" t="s">
        <v>439</v>
      </c>
    </row>
    <row r="41" spans="1:23" ht="14.25" customHeight="1" x14ac:dyDescent="0.3">
      <c r="A41" s="2"/>
      <c r="B41" s="281"/>
      <c r="C41" s="281"/>
      <c r="D41" s="281"/>
      <c r="E41" s="281"/>
      <c r="F41" s="281"/>
      <c r="G41" s="281"/>
      <c r="H41" s="281"/>
      <c r="I41" s="281"/>
      <c r="J41" s="281"/>
      <c r="K41" s="281"/>
      <c r="L41" s="281"/>
      <c r="M41" s="302"/>
      <c r="N41" s="292"/>
      <c r="O41" s="292"/>
      <c r="P41" s="292"/>
      <c r="Q41" s="292"/>
      <c r="R41" s="292"/>
      <c r="S41" s="292"/>
      <c r="T41" s="292"/>
      <c r="U41" s="292"/>
      <c r="V41" s="285"/>
      <c r="W41" s="288"/>
    </row>
    <row r="42" spans="1:23" ht="14.25" customHeight="1" x14ac:dyDescent="0.3">
      <c r="A42" s="2"/>
      <c r="B42" s="281"/>
      <c r="C42" s="281"/>
      <c r="D42" s="281"/>
      <c r="E42" s="281"/>
      <c r="F42" s="281"/>
      <c r="G42" s="281"/>
      <c r="H42" s="281"/>
      <c r="I42" s="281"/>
      <c r="J42" s="281"/>
      <c r="K42" s="281"/>
      <c r="L42" s="281"/>
      <c r="M42" s="302"/>
      <c r="N42" s="292"/>
      <c r="O42" s="292"/>
      <c r="P42" s="292"/>
      <c r="Q42" s="292"/>
      <c r="R42" s="292"/>
      <c r="S42" s="292"/>
      <c r="T42" s="292"/>
      <c r="U42" s="292"/>
      <c r="V42" s="285"/>
      <c r="W42" s="288"/>
    </row>
    <row r="43" spans="1:23" ht="14.25" customHeight="1" x14ac:dyDescent="0.3">
      <c r="A43" s="2"/>
      <c r="B43" s="289" t="s">
        <v>440</v>
      </c>
      <c r="C43" s="289"/>
      <c r="D43" s="289"/>
      <c r="E43" s="289"/>
      <c r="F43" s="289"/>
      <c r="G43" s="289"/>
      <c r="H43" s="289"/>
      <c r="I43" s="289"/>
      <c r="J43" s="289"/>
      <c r="K43" s="289"/>
      <c r="L43" s="289"/>
      <c r="M43" s="289"/>
      <c r="N43" s="289"/>
      <c r="O43" s="289"/>
      <c r="P43" s="289"/>
      <c r="Q43" s="289"/>
      <c r="R43" s="289"/>
      <c r="S43" s="289"/>
      <c r="T43" s="289"/>
      <c r="U43" s="289"/>
      <c r="V43" s="285"/>
      <c r="W43" s="291"/>
    </row>
    <row r="44" spans="1:23" ht="64.5" customHeight="1" x14ac:dyDescent="0.3">
      <c r="A44" s="2"/>
      <c r="B44" s="281" t="s">
        <v>77</v>
      </c>
      <c r="C44" s="304">
        <f t="shared" ref="C44:K44" si="6">IFERROR(365/C36,0)</f>
        <v>18.532211243231178</v>
      </c>
      <c r="D44" s="304">
        <f t="shared" si="6"/>
        <v>14.990326757559599</v>
      </c>
      <c r="E44" s="304">
        <f t="shared" si="6"/>
        <v>14.095996216897856</v>
      </c>
      <c r="F44" s="304">
        <f t="shared" si="6"/>
        <v>5.036121307836777</v>
      </c>
      <c r="G44" s="304">
        <f t="shared" si="6"/>
        <v>4.1208827274756148</v>
      </c>
      <c r="H44" s="304">
        <f t="shared" si="6"/>
        <v>22.868080479945505</v>
      </c>
      <c r="I44" s="304">
        <f t="shared" si="6"/>
        <v>31.993261195111344</v>
      </c>
      <c r="J44" s="304">
        <f t="shared" si="6"/>
        <v>6.8782925434239441</v>
      </c>
      <c r="K44" s="304">
        <f t="shared" si="6"/>
        <v>17.841556459816882</v>
      </c>
      <c r="L44" s="304">
        <f>IFERROR(365/L36,0)</f>
        <v>22.260878626431467</v>
      </c>
      <c r="M44" s="302"/>
      <c r="N44" s="305">
        <f t="shared" ref="N44:Q46" si="7">IFERROR(365/N36,0)</f>
        <v>33.145584625762098</v>
      </c>
      <c r="O44" s="305">
        <f t="shared" si="7"/>
        <v>32.358483079303831</v>
      </c>
      <c r="P44" s="305">
        <f t="shared" si="7"/>
        <v>31.489251784686669</v>
      </c>
      <c r="Q44" s="305">
        <f t="shared" si="7"/>
        <v>31.40925178468666</v>
      </c>
      <c r="R44" s="305">
        <f t="shared" ref="R44:U46" si="8">IFERROR(365/R36,0)</f>
        <v>31.40925178468666</v>
      </c>
      <c r="S44" s="305">
        <f t="shared" si="8"/>
        <v>31.40925178468666</v>
      </c>
      <c r="T44" s="305">
        <f t="shared" si="8"/>
        <v>31.40925178468666</v>
      </c>
      <c r="U44" s="305">
        <f t="shared" si="8"/>
        <v>31.40925178468666</v>
      </c>
      <c r="V44" s="285" t="s">
        <v>441</v>
      </c>
      <c r="W44" s="286" t="s">
        <v>442</v>
      </c>
    </row>
    <row r="45" spans="1:23" ht="64.5" customHeight="1" x14ac:dyDescent="0.3">
      <c r="A45" s="2"/>
      <c r="B45" s="281" t="s">
        <v>81</v>
      </c>
      <c r="C45" s="304">
        <f t="shared" ref="C45:L45" si="9">IFERROR(365/C37,0)</f>
        <v>143.25030376670716</v>
      </c>
      <c r="D45" s="304">
        <f t="shared" si="9"/>
        <v>167.45776027623126</v>
      </c>
      <c r="E45" s="304">
        <f t="shared" si="9"/>
        <v>26.603888302859826</v>
      </c>
      <c r="F45" s="304">
        <f t="shared" si="9"/>
        <v>31.519978795308461</v>
      </c>
      <c r="G45" s="304">
        <f t="shared" si="9"/>
        <v>41.659128814628943</v>
      </c>
      <c r="H45" s="304">
        <f t="shared" si="9"/>
        <v>6.924136599747297</v>
      </c>
      <c r="I45" s="304">
        <f t="shared" si="9"/>
        <v>161.70811648079305</v>
      </c>
      <c r="J45" s="304">
        <f t="shared" si="9"/>
        <v>65.249102226478342</v>
      </c>
      <c r="K45" s="304">
        <f t="shared" si="9"/>
        <v>169.3421722084218</v>
      </c>
      <c r="L45" s="304">
        <f t="shared" si="9"/>
        <v>85.517807158407862</v>
      </c>
      <c r="M45" s="302"/>
      <c r="N45" s="305">
        <f t="shared" si="7"/>
        <v>39.999999999999993</v>
      </c>
      <c r="O45" s="305">
        <f t="shared" si="7"/>
        <v>40</v>
      </c>
      <c r="P45" s="305">
        <f t="shared" si="7"/>
        <v>40</v>
      </c>
      <c r="Q45" s="305">
        <f t="shared" si="7"/>
        <v>40</v>
      </c>
      <c r="R45" s="305">
        <f t="shared" si="8"/>
        <v>40</v>
      </c>
      <c r="S45" s="305">
        <f t="shared" si="8"/>
        <v>40</v>
      </c>
      <c r="T45" s="305">
        <f t="shared" si="8"/>
        <v>40</v>
      </c>
      <c r="U45" s="305">
        <f t="shared" si="8"/>
        <v>40</v>
      </c>
      <c r="V45" s="285" t="s">
        <v>443</v>
      </c>
      <c r="W45" s="286" t="s">
        <v>444</v>
      </c>
    </row>
    <row r="46" spans="1:23" ht="64.5" customHeight="1" x14ac:dyDescent="0.3">
      <c r="A46" s="2"/>
      <c r="B46" s="281" t="s">
        <v>79</v>
      </c>
      <c r="C46" s="304">
        <f t="shared" ref="C46:L46" si="10">IFERROR(365/C38,0)</f>
        <v>113.25460095427199</v>
      </c>
      <c r="D46" s="304">
        <f t="shared" si="10"/>
        <v>110.82190452173575</v>
      </c>
      <c r="E46" s="304">
        <f t="shared" si="10"/>
        <v>29.293688466947962</v>
      </c>
      <c r="F46" s="304">
        <f t="shared" si="10"/>
        <v>67.930488370551984</v>
      </c>
      <c r="G46" s="304">
        <f t="shared" si="10"/>
        <v>75.009466139768321</v>
      </c>
      <c r="H46" s="304">
        <f t="shared" si="10"/>
        <v>63.956987926435488</v>
      </c>
      <c r="I46" s="304">
        <f t="shared" si="10"/>
        <v>272.88159851301117</v>
      </c>
      <c r="J46" s="304">
        <f t="shared" si="10"/>
        <v>62.072719655254978</v>
      </c>
      <c r="K46" s="304">
        <f t="shared" si="10"/>
        <v>92.858543082033904</v>
      </c>
      <c r="L46" s="304">
        <f t="shared" si="10"/>
        <v>74.46000926695821</v>
      </c>
      <c r="M46" s="302"/>
      <c r="N46" s="305">
        <f t="shared" si="7"/>
        <v>42.999999999999993</v>
      </c>
      <c r="O46" s="305">
        <f t="shared" si="7"/>
        <v>41</v>
      </c>
      <c r="P46" s="305">
        <f t="shared" si="7"/>
        <v>40</v>
      </c>
      <c r="Q46" s="305">
        <f t="shared" si="7"/>
        <v>40</v>
      </c>
      <c r="R46" s="305">
        <f t="shared" si="8"/>
        <v>40</v>
      </c>
      <c r="S46" s="305">
        <f t="shared" si="8"/>
        <v>40</v>
      </c>
      <c r="T46" s="305">
        <f t="shared" si="8"/>
        <v>40</v>
      </c>
      <c r="U46" s="305">
        <f t="shared" si="8"/>
        <v>40</v>
      </c>
      <c r="V46" s="285" t="s">
        <v>445</v>
      </c>
      <c r="W46" s="286" t="s">
        <v>446</v>
      </c>
    </row>
    <row r="47" spans="1:23" ht="64.5" customHeight="1" x14ac:dyDescent="0.3">
      <c r="A47" s="2"/>
      <c r="B47" s="281" t="s">
        <v>447</v>
      </c>
      <c r="C47" s="304">
        <f t="shared" ref="C47:K47" si="11">IFERROR(C44+C46-C45,0)</f>
        <v>-11.463491569203995</v>
      </c>
      <c r="D47" s="304">
        <f t="shared" si="11"/>
        <v>-41.645528996935909</v>
      </c>
      <c r="E47" s="304">
        <f t="shared" si="11"/>
        <v>16.785796380985989</v>
      </c>
      <c r="F47" s="304">
        <f t="shared" si="11"/>
        <v>41.446630883080303</v>
      </c>
      <c r="G47" s="304">
        <f t="shared" si="11"/>
        <v>37.471220052614996</v>
      </c>
      <c r="H47" s="304">
        <f t="shared" si="11"/>
        <v>79.900931806633693</v>
      </c>
      <c r="I47" s="304">
        <f t="shared" si="11"/>
        <v>143.16674322732948</v>
      </c>
      <c r="J47" s="304">
        <f t="shared" si="11"/>
        <v>3.7019099722005819</v>
      </c>
      <c r="K47" s="304">
        <f t="shared" si="11"/>
        <v>-58.642072666571011</v>
      </c>
      <c r="L47" s="304">
        <f>IFERROR(L44+L46-L45,0)</f>
        <v>11.20308073498181</v>
      </c>
      <c r="M47" s="302"/>
      <c r="N47" s="305">
        <f t="shared" ref="N47:U47" si="12">IFERROR(N44+N46-N45,0)</f>
        <v>36.145584625762105</v>
      </c>
      <c r="O47" s="305">
        <f t="shared" si="12"/>
        <v>33.358483079303824</v>
      </c>
      <c r="P47" s="305">
        <f t="shared" si="12"/>
        <v>31.489251784686672</v>
      </c>
      <c r="Q47" s="305">
        <f t="shared" si="12"/>
        <v>31.40925178468666</v>
      </c>
      <c r="R47" s="305">
        <f t="shared" si="12"/>
        <v>31.40925178468666</v>
      </c>
      <c r="S47" s="305">
        <f t="shared" si="12"/>
        <v>31.40925178468666</v>
      </c>
      <c r="T47" s="305">
        <f t="shared" si="12"/>
        <v>31.40925178468666</v>
      </c>
      <c r="U47" s="305">
        <f t="shared" si="12"/>
        <v>31.40925178468666</v>
      </c>
      <c r="V47" s="285" t="s">
        <v>448</v>
      </c>
      <c r="W47" s="286" t="s">
        <v>449</v>
      </c>
    </row>
    <row r="48" spans="1:23" ht="14.25" customHeight="1" x14ac:dyDescent="0.3">
      <c r="A48" s="2"/>
      <c r="B48" s="281"/>
      <c r="C48" s="281"/>
      <c r="D48" s="281"/>
      <c r="E48" s="281"/>
      <c r="F48" s="281"/>
      <c r="G48" s="281"/>
      <c r="H48" s="281"/>
      <c r="I48" s="281"/>
      <c r="J48" s="281"/>
      <c r="K48" s="281"/>
      <c r="L48" s="281"/>
      <c r="M48" s="283"/>
      <c r="N48" s="292"/>
      <c r="O48" s="292"/>
      <c r="P48" s="292"/>
      <c r="Q48" s="292"/>
      <c r="R48" s="292"/>
      <c r="S48" s="292"/>
      <c r="T48" s="292"/>
      <c r="U48" s="292"/>
      <c r="V48" s="285"/>
      <c r="W48" s="288"/>
    </row>
    <row r="49" spans="1:23" ht="14.25" customHeight="1" x14ac:dyDescent="0.3">
      <c r="A49" s="2"/>
      <c r="B49" s="296" t="s">
        <v>450</v>
      </c>
      <c r="C49" s="296"/>
      <c r="D49" s="296"/>
      <c r="E49" s="296"/>
      <c r="F49" s="296"/>
      <c r="G49" s="296"/>
      <c r="H49" s="296"/>
      <c r="I49" s="296"/>
      <c r="J49" s="296"/>
      <c r="K49" s="296"/>
      <c r="L49" s="296"/>
      <c r="M49" s="296"/>
      <c r="N49" s="296"/>
      <c r="O49" s="296"/>
      <c r="P49" s="296"/>
      <c r="Q49" s="296"/>
      <c r="R49" s="296"/>
      <c r="S49" s="296"/>
      <c r="T49" s="296"/>
      <c r="U49" s="296"/>
      <c r="V49" s="285"/>
      <c r="W49" s="291"/>
    </row>
    <row r="50" spans="1:23" ht="64.5" customHeight="1" x14ac:dyDescent="0.3">
      <c r="A50" s="2"/>
      <c r="B50" s="281" t="s">
        <v>451</v>
      </c>
      <c r="C50" s="282" t="s">
        <v>218</v>
      </c>
      <c r="D50" s="282">
        <f>IFERROR('Historical FS'!D118/'Historical FS'!D5,0)</f>
        <v>-0.66908370782237814</v>
      </c>
      <c r="E50" s="282">
        <f>IFERROR('Historical FS'!E118/'Historical FS'!E5,0)</f>
        <v>0.21668393082327517</v>
      </c>
      <c r="F50" s="282">
        <f>IFERROR('Historical FS'!F118/'Historical FS'!F5,0)</f>
        <v>4.5341044903534272E-2</v>
      </c>
      <c r="G50" s="282">
        <f>IFERROR('Historical FS'!G118/'Historical FS'!G5,0)</f>
        <v>1.6068685754795066E-2</v>
      </c>
      <c r="H50" s="282">
        <f>IFERROR('Historical FS'!H118/'Historical FS'!H5,0)</f>
        <v>3.1424379764742917E-2</v>
      </c>
      <c r="I50" s="282">
        <f>IFERROR('Historical FS'!I118/'Historical FS'!I5,0)</f>
        <v>0.10306265397806888</v>
      </c>
      <c r="J50" s="282">
        <f>IFERROR('Historical FS'!J118/'Historical FS'!J5,0)</f>
        <v>0.21590555605727674</v>
      </c>
      <c r="K50" s="282">
        <f>IFERROR('Historical FS'!K118/'Historical FS'!K5,0)</f>
        <v>0.21600330620549324</v>
      </c>
      <c r="L50" s="282">
        <f>IFERROR('Historical FS'!L118/'Historical FS'!L5,0)</f>
        <v>6.3185007454591172E-2</v>
      </c>
      <c r="M50" s="283"/>
      <c r="N50" s="284">
        <f ca="1">IFERROR('The 3-Statement Projection'!D85/'The 3-Statement Projection'!D6,0)</f>
        <v>6.3930300677400034E-2</v>
      </c>
      <c r="O50" s="284">
        <f ca="1">IFERROR('The 3-Statement Projection'!E85/'The 3-Statement Projection'!E6,0)</f>
        <v>0.11441192060069025</v>
      </c>
      <c r="P50" s="284">
        <f ca="1">IFERROR('The 3-Statement Projection'!F85/'The 3-Statement Projection'!F6,0)</f>
        <v>0.12237265553093726</v>
      </c>
      <c r="Q50" s="284">
        <f ca="1">IFERROR('The 3-Statement Projection'!G85/'The 3-Statement Projection'!G6,0)</f>
        <v>0.12282249741235308</v>
      </c>
      <c r="R50" s="284">
        <f ca="1">IFERROR('The 3-Statement Projection'!H85/'The 3-Statement Projection'!H6,0)</f>
        <v>0.12120529686787977</v>
      </c>
      <c r="S50" s="284">
        <f ca="1">IFERROR('The 3-Statement Projection'!I85/'The 3-Statement Projection'!I6,0)</f>
        <v>0.12237267284581374</v>
      </c>
      <c r="T50" s="284">
        <f ca="1">IFERROR('The 3-Statement Projection'!J85/'The 3-Statement Projection'!J6,0)</f>
        <v>0.12358251548338692</v>
      </c>
      <c r="U50" s="284">
        <f ca="1">IFERROR('The 3-Statement Projection'!K85/'The 3-Statement Projection'!K6,0)</f>
        <v>0.12482888031382579</v>
      </c>
      <c r="V50" s="285" t="s">
        <v>452</v>
      </c>
      <c r="W50" s="286" t="s">
        <v>453</v>
      </c>
    </row>
    <row r="51" spans="1:23" ht="64.5" customHeight="1" x14ac:dyDescent="0.3">
      <c r="A51" s="2"/>
      <c r="B51" s="281" t="s">
        <v>454</v>
      </c>
      <c r="C51" s="282" t="s">
        <v>218</v>
      </c>
      <c r="D51" s="282">
        <f>IFERROR('Historical FS'!D118/'Historical FS'!D96,0)</f>
        <v>-0.46097333151415304</v>
      </c>
      <c r="E51" s="282">
        <f>IFERROR('Historical FS'!E118/'Historical FS'!E96,0)</f>
        <v>0.22611116985654375</v>
      </c>
      <c r="F51" s="282">
        <f>IFERROR('Historical FS'!F118/'Historical FS'!F96,0)</f>
        <v>4.9796664596200545E-2</v>
      </c>
      <c r="G51" s="282">
        <f>IFERROR('Historical FS'!G118/'Historical FS'!G96,0)</f>
        <v>1.4860861541450202E-2</v>
      </c>
      <c r="H51" s="282">
        <f>IFERROR('Historical FS'!H118/'Historical FS'!H96,0)</f>
        <v>2.8996192663322703E-2</v>
      </c>
      <c r="I51" s="282">
        <f>IFERROR('Historical FS'!I118/'Historical FS'!I96,0)</f>
        <v>7.9236173439386118E-2</v>
      </c>
      <c r="J51" s="282">
        <f>IFERROR('Historical FS'!J118/'Historical FS'!J96,0)</f>
        <v>0.28860869856812349</v>
      </c>
      <c r="K51" s="282">
        <f>IFERROR('Historical FS'!K118/'Historical FS'!K96,0)</f>
        <v>0.18113523427669592</v>
      </c>
      <c r="L51" s="282">
        <f>IFERROR('Historical FS'!L118/'Historical FS'!L96,0)</f>
        <v>6.297836982748066E-2</v>
      </c>
      <c r="M51" s="283"/>
      <c r="N51" s="284">
        <f ca="1">IFERROR('The 3-Statement Projection'!D85/'The 3-Statement Projection'!D72,0)</f>
        <v>7.7317762577185978E-2</v>
      </c>
      <c r="O51" s="284">
        <f ca="1">IFERROR('The 3-Statement Projection'!E85/'The 3-Statement Projection'!E72,0)</f>
        <v>0.15037633369570441</v>
      </c>
      <c r="P51" s="284">
        <f ca="1">IFERROR('The 3-Statement Projection'!F85/'The 3-Statement Projection'!F72,0)</f>
        <v>0.15455810246509388</v>
      </c>
      <c r="Q51" s="284">
        <f ca="1">IFERROR('The 3-Statement Projection'!G85/'The 3-Statement Projection'!G72,0)</f>
        <v>0.14727170124570732</v>
      </c>
      <c r="R51" s="284">
        <f ca="1">IFERROR('The 3-Statement Projection'!H85/'The 3-Statement Projection'!H72,0)</f>
        <v>0.13823436145275583</v>
      </c>
      <c r="S51" s="284">
        <f ca="1">IFERROR('The 3-Statement Projection'!I85/'The 3-Statement Projection'!I72,0)</f>
        <v>0.13302672783342703</v>
      </c>
      <c r="T51" s="284">
        <f ca="1">IFERROR('The 3-Statement Projection'!J85/'The 3-Statement Projection'!J72,0)</f>
        <v>0.12828853112926827</v>
      </c>
      <c r="U51" s="284">
        <f ca="1">IFERROR('The 3-Statement Projection'!K85/'The 3-Statement Projection'!K72,0)</f>
        <v>0.12395449935042144</v>
      </c>
      <c r="V51" s="285" t="s">
        <v>455</v>
      </c>
      <c r="W51" s="286" t="s">
        <v>456</v>
      </c>
    </row>
    <row r="52" spans="1:23" ht="64.5" customHeight="1" x14ac:dyDescent="0.3">
      <c r="A52" s="2"/>
      <c r="B52" s="281" t="s">
        <v>457</v>
      </c>
      <c r="C52" s="282" t="s">
        <v>218</v>
      </c>
      <c r="D52" s="282">
        <f>IFERROR('Historical FS'!D118/('Historical FS'!D60+'Historical FS'!D67),0)</f>
        <v>-0.77062900254408295</v>
      </c>
      <c r="E52" s="282">
        <f>IFERROR('Historical FS'!E118/('Historical FS'!E60+'Historical FS'!E67),0)</f>
        <v>0.3883798837584761</v>
      </c>
      <c r="F52" s="282">
        <f>IFERROR('Historical FS'!F118/('Historical FS'!F60+'Historical FS'!F67),0)</f>
        <v>0.10412939590736438</v>
      </c>
      <c r="G52" s="282">
        <f>IFERROR('Historical FS'!G118/('Historical FS'!G60+'Historical FS'!G67),0)</f>
        <v>3.1263569257490346E-2</v>
      </c>
      <c r="H52" s="282">
        <f>IFERROR('Historical FS'!H118/('Historical FS'!H60+'Historical FS'!H67),0)</f>
        <v>6.1861784424961416E-2</v>
      </c>
      <c r="I52" s="282">
        <f>IFERROR('Historical FS'!I118/('Historical FS'!I60+'Historical FS'!I67),0)</f>
        <v>0.25272946239955824</v>
      </c>
      <c r="J52" s="282">
        <f>IFERROR('Historical FS'!J118/('Historical FS'!J60+'Historical FS'!J67),0)</f>
        <v>1.2031145157682863</v>
      </c>
      <c r="K52" s="282">
        <f>IFERROR('Historical FS'!K118/('Historical FS'!K60+'Historical FS'!K67),0)</f>
        <v>1.1100111089328883</v>
      </c>
      <c r="L52" s="282">
        <f>IFERROR('Historical FS'!L118/('Historical FS'!L60+'Historical FS'!L67),0)</f>
        <v>0.30428740542488059</v>
      </c>
      <c r="M52" s="283"/>
      <c r="N52" s="284">
        <f ca="1">IFERROR('The 3-Statement Projection'!D85/('The 3-Statement Projection'!D39+'The 3-Statement Projection'!D45+'The 3-Statement Projection'!D46),0)</f>
        <v>0.21700547940887016</v>
      </c>
      <c r="O52" s="284">
        <f ca="1">IFERROR('The 3-Statement Projection'!E85/('The 3-Statement Projection'!E39+'The 3-Statement Projection'!E45+'The 3-Statement Projection'!E46),0)</f>
        <v>0.59936260783203432</v>
      </c>
      <c r="P52" s="284">
        <f ca="1">IFERROR('The 3-Statement Projection'!F85/('The 3-Statement Projection'!F39+'The 3-Statement Projection'!F45+'The 3-Statement Projection'!F46),0)</f>
        <v>0.76373723820581507</v>
      </c>
      <c r="Q52" s="284">
        <f ca="1">IFERROR('The 3-Statement Projection'!G85/('The 3-Statement Projection'!G39+'The 3-Statement Projection'!G45+'The 3-Statement Projection'!G46),0)</f>
        <v>0.87983829764223664</v>
      </c>
      <c r="R52" s="284">
        <f ca="1">IFERROR('The 3-Statement Projection'!H85/('The 3-Statement Projection'!H39+'The 3-Statement Projection'!H45+'The 3-Statement Projection'!H46),0)</f>
        <v>1.0176661367744413</v>
      </c>
      <c r="S52" s="284">
        <f ca="1">IFERROR('The 3-Statement Projection'!I85/('The 3-Statement Projection'!I39+'The 3-Statement Projection'!I45+'The 3-Statement Projection'!I46),0)</f>
        <v>1.2410290919978786</v>
      </c>
      <c r="T52" s="284">
        <f ca="1">IFERROR('The 3-Statement Projection'!J85/('The 3-Statement Projection'!J39+'The 3-Statement Projection'!J45+'The 3-Statement Projection'!J46),0)</f>
        <v>1.582152433455996</v>
      </c>
      <c r="U52" s="284">
        <f ca="1">IFERROR('The 3-Statement Projection'!K85/('The 3-Statement Projection'!K39+'The 3-Statement Projection'!K45+'The 3-Statement Projection'!K46),0)</f>
        <v>2.1666061248204977</v>
      </c>
      <c r="V52" s="285" t="s">
        <v>458</v>
      </c>
      <c r="W52" s="286" t="s">
        <v>459</v>
      </c>
    </row>
    <row r="53" spans="1:23" ht="14.25" customHeight="1" x14ac:dyDescent="0.3">
      <c r="B53" s="48"/>
      <c r="C53" s="298"/>
      <c r="D53" s="298"/>
      <c r="E53" s="298"/>
      <c r="F53" s="298"/>
      <c r="G53" s="298"/>
      <c r="H53" s="298"/>
      <c r="I53" s="298"/>
      <c r="J53" s="298"/>
      <c r="K53" s="298"/>
      <c r="L53" s="298"/>
      <c r="M53" s="298"/>
      <c r="N53" s="298"/>
      <c r="O53" s="298"/>
      <c r="P53" s="298"/>
      <c r="Q53" s="298"/>
      <c r="R53" s="298"/>
      <c r="S53" s="298"/>
      <c r="T53" s="298"/>
      <c r="U53" s="298"/>
      <c r="V53" s="298"/>
      <c r="W53" s="306"/>
    </row>
  </sheetData>
  <mergeCells count="1">
    <mergeCell ref="B2:W2"/>
  </mergeCells>
  <pageMargins left="0.7" right="0.7" top="0.75" bottom="0.75"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markers="1" xr2:uid="{6D087DB4-C13A-422D-8D41-0558D1002D97}">
          <x14:colorSeries rgb="FF376092"/>
          <x14:colorNegative rgb="FFD00000"/>
          <x14:colorAxis rgb="FF000000"/>
          <x14:colorMarkers theme="4"/>
          <x14:colorFirst rgb="FFD00000"/>
          <x14:colorLast rgb="FFD00000"/>
          <x14:colorHigh rgb="FFD00000"/>
          <x14:colorLow rgb="FFD00000"/>
          <x14:sparklines>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displayEmptyCellsAs="gap" markers="1" xr2:uid="{266E4C15-406D-4F56-8AAC-CD397FE4A6BF}">
          <x14:colorSeries rgb="FF376092"/>
          <x14:colorNegative rgb="FFD00000"/>
          <x14:colorAxis rgb="FF000000"/>
          <x14:colorMarkers theme="4"/>
          <x14:colorFirst rgb="FFD00000"/>
          <x14:colorLast rgb="FFD00000"/>
          <x14:colorHigh rgb="FFD00000"/>
          <x14:colorLow rgb="FFD00000"/>
          <x14:sparklines>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s>
        </x14:sparklineGroup>
        <x14:sparklineGroup displayEmptyCellsAs="gap" markers="1" xr2:uid="{B0FFDF8E-FE83-4736-8A9B-5996186FE250}">
          <x14:colorSeries rgb="FF376092"/>
          <x14:colorNegative rgb="FFD00000"/>
          <x14:colorAxis rgb="FF000000"/>
          <x14:colorMarkers theme="4"/>
          <x14:colorFirst rgb="FFD00000"/>
          <x14:colorLast rgb="FFD00000"/>
          <x14:colorHigh rgb="FFD00000"/>
          <x14:colorLow rgb="FFD00000"/>
          <x14:sparklines>
            <x14:sparkline>
              <xm:f>'Ratio Analysis'!C30:L30</xm:f>
              <xm:sqref>M30</xm:sqref>
            </x14:sparkline>
          </x14:sparklines>
        </x14:sparklineGroup>
        <x14:sparklineGroup displayEmptyCellsAs="gap" markers="1" xr2:uid="{2EB86A84-B573-48A6-B9F9-8310498CC350}">
          <x14:colorSeries rgb="FF376092"/>
          <x14:colorNegative rgb="FFD00000"/>
          <x14:colorAxis rgb="FF000000"/>
          <x14:colorMarkers theme="4"/>
          <x14:colorFirst rgb="FFD00000"/>
          <x14:colorLast rgb="FFD00000"/>
          <x14:colorHigh rgb="FFD00000"/>
          <x14:colorLow rgb="FFD00000"/>
          <x14:sparklines>
            <x14:sparkline>
              <xm:f>'Ratio Analysis'!C32:L32</xm:f>
              <xm:sqref>M32</xm:sqref>
            </x14:sparkline>
          </x14:sparklines>
        </x14:sparklineGroup>
        <x14:sparklineGroup displayEmptyCellsAs="gap" markers="1" xr2:uid="{A36F8F7F-52C3-4CDB-92E2-D700EC090EA9}">
          <x14:colorSeries rgb="FF376092"/>
          <x14:colorNegative rgb="FFD00000"/>
          <x14:colorAxis rgb="FF000000"/>
          <x14:colorMarkers theme="4"/>
          <x14:colorFirst rgb="FFD00000"/>
          <x14:colorLast rgb="FFD00000"/>
          <x14:colorHigh rgb="FFD00000"/>
          <x14:colorLow rgb="FFD00000"/>
          <x14:sparklines>
            <x14:sparkline>
              <xm:f>'Ratio Analysis'!D31:L31</xm:f>
              <xm:sqref>M31</xm:sqref>
            </x14:sparkline>
          </x14:sparklines>
        </x14:sparklineGroup>
        <x14:sparklineGroup displayEmptyCellsAs="gap" markers="1" xr2:uid="{0F763501-936F-46CE-B406-88F8290ED65F}">
          <x14:colorSeries rgb="FF376092"/>
          <x14:colorNegative rgb="FFD00000"/>
          <x14:colorAxis rgb="FF000000"/>
          <x14:colorMarkers theme="4"/>
          <x14:colorFirst rgb="FFD00000"/>
          <x14:colorLast rgb="FFD00000"/>
          <x14:colorHigh rgb="FFD00000"/>
          <x14:colorLow rgb="FFD00000"/>
          <x14:sparklines>
            <x14:sparkline>
              <xm:f>'Ratio Analysis'!D33:L33</xm:f>
              <xm:sqref>M33</xm:sqref>
            </x14:sparkline>
          </x14:sparklines>
        </x14:sparklineGroup>
        <x14:sparklineGroup displayEmptyCellsAs="gap" markers="1" xr2:uid="{C6F4FAF0-2C3F-43BA-B476-613B7AE4BBD1}">
          <x14:colorSeries rgb="FF376092"/>
          <x14:colorNegative rgb="FFD00000"/>
          <x14:colorAxis rgb="FF000000"/>
          <x14:colorMarkers theme="4"/>
          <x14:colorFirst rgb="FFD00000"/>
          <x14:colorLast rgb="FFD00000"/>
          <x14:colorHigh rgb="FFD00000"/>
          <x14:colorLow rgb="FFD00000"/>
          <x14:sparklines>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Analysis'!C44:L44</xm:f>
              <xm:sqref>M44</xm:sqref>
            </x14:sparkline>
            <x14:sparkline>
              <xm:f>'Ratio Analysis'!C45:L45</xm:f>
              <xm:sqref>M45</xm:sqref>
            </x14:sparkline>
            <x14:sparkline>
              <xm:f>'Ratio Analysis'!C46:L46</xm:f>
              <xm:sqref>M46</xm:sqref>
            </x14:sparkline>
            <x14:sparkline>
              <xm:f>'Ratio Analysis'!C47:L47</xm:f>
              <xm:sqref>M47</xm:sqref>
            </x14:sparkline>
          </x14:sparklines>
        </x14:sparklineGroup>
        <x14:sparklineGroup displayEmptyCellsAs="gap" markers="1" xr2:uid="{D1F20F9A-C966-499A-BF43-DB70E146850D}">
          <x14:colorSeries rgb="FF376092"/>
          <x14:colorNegative rgb="FFD00000"/>
          <x14:colorAxis rgb="FF000000"/>
          <x14:colorMarkers theme="4"/>
          <x14:colorFirst rgb="FFD00000"/>
          <x14:colorLast rgb="FFD00000"/>
          <x14:colorHigh rgb="FFD00000"/>
          <x14:colorLow rgb="FFD00000"/>
          <x14:sparklines>
            <x14:sparkline>
              <xm:f>'Ratio Analysis'!D50:L50</xm:f>
              <xm:sqref>M50</xm:sqref>
            </x14:sparkline>
            <x14:sparkline>
              <xm:f>'Ratio Analysis'!D51:L51</xm:f>
              <xm:sqref>M51</xm:sqref>
            </x14:sparkline>
            <x14:sparkline>
              <xm:f>'Ratio Analysis'!D52:L52</xm:f>
              <xm:sqref>M52</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72"/>
  <sheetViews>
    <sheetView showGridLines="0" zoomScaleNormal="100" workbookViewId="0">
      <pane ySplit="3" topLeftCell="A48" activePane="bottomLeft" state="frozen"/>
      <selection pane="bottomLeft" activeCell="E48" sqref="E48"/>
    </sheetView>
  </sheetViews>
  <sheetFormatPr defaultColWidth="8.6640625" defaultRowHeight="14.4" x14ac:dyDescent="0.3"/>
  <cols>
    <col min="1" max="1" width="3.6640625" customWidth="1"/>
    <col min="2" max="2" width="46.33203125" customWidth="1"/>
    <col min="3" max="12" width="13.88671875" customWidth="1"/>
  </cols>
  <sheetData>
    <row r="1" spans="1:20" ht="24" customHeight="1" x14ac:dyDescent="0.3">
      <c r="A1" s="1"/>
      <c r="B1" s="2"/>
      <c r="C1" s="2"/>
      <c r="D1" s="2"/>
      <c r="E1" s="2"/>
      <c r="F1" s="2"/>
      <c r="G1" s="2"/>
      <c r="H1" s="2"/>
      <c r="I1" s="2"/>
      <c r="J1" s="2"/>
      <c r="K1" s="2"/>
      <c r="L1" s="2"/>
    </row>
    <row r="2" spans="1:20" ht="18" customHeight="1" x14ac:dyDescent="0.3">
      <c r="A2" s="48"/>
      <c r="B2" s="241" t="str">
        <f>"Common Size Statements - "&amp;'Executive Summary'!B2</f>
        <v>Common Size Statements - Jindal Coke Ltd.</v>
      </c>
      <c r="C2" s="241"/>
      <c r="D2" s="241"/>
      <c r="E2" s="241"/>
      <c r="F2" s="241"/>
      <c r="G2" s="241"/>
      <c r="H2" s="241"/>
      <c r="I2" s="241"/>
      <c r="J2" s="241"/>
      <c r="K2" s="241"/>
      <c r="L2" s="241"/>
    </row>
    <row r="3" spans="1:20" ht="14.25" customHeight="1" x14ac:dyDescent="0.3">
      <c r="A3" s="48"/>
      <c r="B3" s="165" t="str">
        <f>'Historical FS'!B3</f>
        <v>Years</v>
      </c>
      <c r="C3" s="834" t="str">
        <f>'Historical FS'!C3</f>
        <v>FY16A</v>
      </c>
      <c r="D3" s="834" t="str">
        <f>'Historical FS'!D3</f>
        <v>FY17A</v>
      </c>
      <c r="E3" s="834" t="str">
        <f>'Historical FS'!E3</f>
        <v>FY18A</v>
      </c>
      <c r="F3" s="834" t="str">
        <f>'Historical FS'!F3</f>
        <v>FY19A</v>
      </c>
      <c r="G3" s="834" t="str">
        <f>'Historical FS'!G3</f>
        <v>FY20A</v>
      </c>
      <c r="H3" s="834" t="str">
        <f>'Historical FS'!H3</f>
        <v>FY21A</v>
      </c>
      <c r="I3" s="834" t="str">
        <f>'Historical FS'!I3</f>
        <v>FY22A</v>
      </c>
      <c r="J3" s="834" t="str">
        <f>'Historical FS'!J3</f>
        <v>FY23A</v>
      </c>
      <c r="K3" s="834" t="str">
        <f>'Historical FS'!K3</f>
        <v>FY24A</v>
      </c>
      <c r="L3" s="834" t="str">
        <f>'Historical FS'!L3</f>
        <v>FY25A</v>
      </c>
      <c r="M3" s="873" t="str">
        <f>'The 3-Statement Projection'!D3</f>
        <v>FY26E</v>
      </c>
      <c r="N3" s="873" t="str">
        <f>'The 3-Statement Projection'!E3</f>
        <v>FY27E</v>
      </c>
      <c r="O3" s="873" t="str">
        <f>'The 3-Statement Projection'!F3</f>
        <v>FY28E</v>
      </c>
      <c r="P3" s="873" t="str">
        <f>'The 3-Statement Projection'!G3</f>
        <v>FY29E</v>
      </c>
      <c r="Q3" s="873" t="str">
        <f>'The 3-Statement Projection'!H3</f>
        <v>FY30E</v>
      </c>
      <c r="R3" s="873" t="str">
        <f>'The 3-Statement Projection'!I3</f>
        <v>FY31E</v>
      </c>
      <c r="S3" s="873" t="str">
        <f>'The 3-Statement Projection'!J3</f>
        <v>FY32E</v>
      </c>
      <c r="T3" s="873" t="str">
        <f>'The 3-Statement Projection'!K3</f>
        <v>FY33E</v>
      </c>
    </row>
    <row r="4" spans="1:20" ht="14.25" customHeight="1" x14ac:dyDescent="0.3">
      <c r="A4" s="162" t="s">
        <v>2</v>
      </c>
      <c r="B4" s="244" t="str">
        <f>'Historical FS'!B4</f>
        <v>Income Statement</v>
      </c>
      <c r="C4" s="244"/>
      <c r="D4" s="244"/>
      <c r="E4" s="244"/>
      <c r="F4" s="244"/>
      <c r="G4" s="244"/>
      <c r="H4" s="244"/>
      <c r="I4" s="244"/>
      <c r="J4" s="244"/>
      <c r="K4" s="244"/>
      <c r="L4" s="244"/>
    </row>
    <row r="5" spans="1:20" ht="14.25" customHeight="1" x14ac:dyDescent="0.3">
      <c r="A5" s="36"/>
      <c r="B5" s="162" t="str">
        <f>'Historical FS'!B5</f>
        <v>Net Sales</v>
      </c>
      <c r="C5" s="308">
        <f>IFERROR('Historical FS'!C5/'Historical FS'!C5,0)</f>
        <v>1</v>
      </c>
      <c r="D5" s="308">
        <f>IFERROR('Historical FS'!D5/'Historical FS'!D5,0)</f>
        <v>1</v>
      </c>
      <c r="E5" s="308">
        <f>IFERROR('Historical FS'!E5/'Historical FS'!E5,0)</f>
        <v>1</v>
      </c>
      <c r="F5" s="308">
        <f>IFERROR('Historical FS'!F5/'Historical FS'!F5,0)</f>
        <v>1</v>
      </c>
      <c r="G5" s="308">
        <f>IFERROR('Historical FS'!G5/'Historical FS'!G5,0)</f>
        <v>1</v>
      </c>
      <c r="H5" s="308">
        <f>IFERROR('Historical FS'!H5/'Historical FS'!H5,0)</f>
        <v>1</v>
      </c>
      <c r="I5" s="308">
        <f>IFERROR('Historical FS'!I5/'Historical FS'!I5,0)</f>
        <v>1</v>
      </c>
      <c r="J5" s="308">
        <f>IFERROR('Historical FS'!J5/'Historical FS'!J5,0)</f>
        <v>1</v>
      </c>
      <c r="K5" s="308">
        <f>IFERROR('Historical FS'!K5/'Historical FS'!K5,0)</f>
        <v>1</v>
      </c>
      <c r="L5" s="308">
        <f>IFERROR('Historical FS'!L5/'Historical FS'!L5,0)</f>
        <v>1</v>
      </c>
      <c r="M5" s="769">
        <f>IFERROR('The 3-Statement Projection'!D6/'The 3-Statement Projection'!D$6,0)</f>
        <v>1</v>
      </c>
      <c r="N5" s="769">
        <f>IFERROR('The 3-Statement Projection'!E6/'The 3-Statement Projection'!E$6,0)</f>
        <v>1</v>
      </c>
      <c r="O5" s="769">
        <f>IFERROR('The 3-Statement Projection'!F6/'The 3-Statement Projection'!F$6,0)</f>
        <v>1</v>
      </c>
      <c r="P5" s="769">
        <f>IFERROR('The 3-Statement Projection'!G6/'The 3-Statement Projection'!G$6,0)</f>
        <v>1</v>
      </c>
      <c r="Q5" s="769">
        <f>IFERROR('The 3-Statement Projection'!H6/'The 3-Statement Projection'!H$6,0)</f>
        <v>1</v>
      </c>
      <c r="R5" s="769">
        <f>IFERROR('The 3-Statement Projection'!I6/'The 3-Statement Projection'!I$6,0)</f>
        <v>1</v>
      </c>
      <c r="S5" s="769">
        <f>IFERROR('The 3-Statement Projection'!J6/'The 3-Statement Projection'!J$6,0)</f>
        <v>1</v>
      </c>
      <c r="T5" s="769">
        <f>IFERROR('The 3-Statement Projection'!K6/'The 3-Statement Projection'!K$6,0)</f>
        <v>1</v>
      </c>
    </row>
    <row r="6" spans="1:20" ht="14.25" customHeight="1" x14ac:dyDescent="0.3">
      <c r="A6" s="36"/>
      <c r="B6" s="36" t="str">
        <f>'Historical FS'!B8</f>
        <v>COGS</v>
      </c>
      <c r="C6" s="309">
        <f>IFERROR('Historical FS'!C8/'Historical FS'!C5,0)</f>
        <v>0.94185786858705967</v>
      </c>
      <c r="D6" s="309">
        <f>IFERROR('Historical FS'!D8/'Historical FS'!D5,0)</f>
        <v>0.78529971818112587</v>
      </c>
      <c r="E6" s="309">
        <f>IFERROR('Historical FS'!E8/'Historical FS'!E5,0)</f>
        <v>0.76851017834624391</v>
      </c>
      <c r="F6" s="309">
        <f>IFERROR('Historical FS'!F8/'Historical FS'!F5,0)</f>
        <v>0.8051796995048659</v>
      </c>
      <c r="G6" s="309">
        <f>IFERROR('Historical FS'!G8/'Historical FS'!G5,0)</f>
        <v>0.87370853189450326</v>
      </c>
      <c r="H6" s="309">
        <f>IFERROR('Historical FS'!H8/'Historical FS'!H5,0)</f>
        <v>0.74643053627099099</v>
      </c>
      <c r="I6" s="309">
        <f>IFERROR('Historical FS'!I8/'Historical FS'!I5,0)</f>
        <v>0.6497270663252982</v>
      </c>
      <c r="J6" s="309">
        <f>IFERROR('Historical FS'!J8/'Historical FS'!J5,0)</f>
        <v>0.83827528422489117</v>
      </c>
      <c r="K6" s="309">
        <f>IFERROR('Historical FS'!K8/'Historical FS'!K5,0)</f>
        <v>0.84977110885045792</v>
      </c>
      <c r="L6" s="309">
        <f>IFERROR('Historical FS'!L8/'Historical FS'!L5,0)</f>
        <v>0.84190923033350606</v>
      </c>
      <c r="M6" s="769">
        <f>IFERROR('The 3-Statement Projection'!D9/'The 3-Statement Projection'!D$6,0)</f>
        <v>0.77082754943632792</v>
      </c>
      <c r="N6" s="769">
        <f>IFERROR('The 3-Statement Projection'!E9/'The 3-Statement Projection'!E$6,0)</f>
        <v>0.78923129461716657</v>
      </c>
      <c r="O6" s="769">
        <f>IFERROR('The 3-Statement Projection'!F9/'The 3-Statement Projection'!F$6,0)</f>
        <v>0.78723129461716668</v>
      </c>
      <c r="P6" s="769">
        <f>IFERROR('The 3-Statement Projection'!G9/'The 3-Statement Projection'!G$6,0)</f>
        <v>0.78523129461716656</v>
      </c>
      <c r="Q6" s="769">
        <f>IFERROR('The 3-Statement Projection'!H9/'The 3-Statement Projection'!H$6,0)</f>
        <v>0.78523129461716656</v>
      </c>
      <c r="R6" s="769">
        <f>IFERROR('The 3-Statement Projection'!I9/'The 3-Statement Projection'!I$6,0)</f>
        <v>0.78523129461716656</v>
      </c>
      <c r="S6" s="769">
        <f>IFERROR('The 3-Statement Projection'!J9/'The 3-Statement Projection'!J$6,0)</f>
        <v>0.78523129461716656</v>
      </c>
      <c r="T6" s="769">
        <f>IFERROR('The 3-Statement Projection'!K9/'The 3-Statement Projection'!K$6,0)</f>
        <v>0.78523129461716656</v>
      </c>
    </row>
    <row r="7" spans="1:20" ht="14.25" customHeight="1" x14ac:dyDescent="0.3">
      <c r="A7" s="36"/>
      <c r="B7" s="162" t="str">
        <f>'Historical FS'!B11</f>
        <v>Gross Profit</v>
      </c>
      <c r="C7" s="308">
        <f>IFERROR('Historical FS'!C11/'Historical FS'!C5,0)</f>
        <v>5.8142131412940279E-2</v>
      </c>
      <c r="D7" s="308">
        <f>IFERROR('Historical FS'!D11/'Historical FS'!D5,0)</f>
        <v>0.21470028181887416</v>
      </c>
      <c r="E7" s="308">
        <f>IFERROR('Historical FS'!E11/'Historical FS'!E5,0)</f>
        <v>0.23148982165375612</v>
      </c>
      <c r="F7" s="308">
        <f>IFERROR('Historical FS'!F11/'Historical FS'!F5,0)</f>
        <v>0.19482030049513407</v>
      </c>
      <c r="G7" s="308">
        <f>IFERROR('Historical FS'!G11/'Historical FS'!G5,0)</f>
        <v>0.12629146810549677</v>
      </c>
      <c r="H7" s="308">
        <f>IFERROR('Historical FS'!H11/'Historical FS'!H5,0)</f>
        <v>0.25356946372900896</v>
      </c>
      <c r="I7" s="308">
        <f>IFERROR('Historical FS'!I11/'Historical FS'!I5,0)</f>
        <v>0.3502729336747018</v>
      </c>
      <c r="J7" s="308">
        <f>IFERROR('Historical FS'!J11/'Historical FS'!J5,0)</f>
        <v>0.1617247157751088</v>
      </c>
      <c r="K7" s="308">
        <f>IFERROR('Historical FS'!K11/'Historical FS'!K5,0)</f>
        <v>0.15022889114954205</v>
      </c>
      <c r="L7" s="308">
        <f>IFERROR('Historical FS'!L11/'Historical FS'!L5,0)</f>
        <v>0.15809076966649394</v>
      </c>
      <c r="M7" s="769">
        <f>IFERROR('The 3-Statement Projection'!D10/'The 3-Statement Projection'!D$6,0)</f>
        <v>0.22917245056367208</v>
      </c>
      <c r="N7" s="769">
        <f>IFERROR('The 3-Statement Projection'!E10/'The 3-Statement Projection'!E$6,0)</f>
        <v>0.2107687053828334</v>
      </c>
      <c r="O7" s="769">
        <f>IFERROR('The 3-Statement Projection'!F10/'The 3-Statement Projection'!F$6,0)</f>
        <v>0.21276870538283335</v>
      </c>
      <c r="P7" s="769">
        <f>IFERROR('The 3-Statement Projection'!G10/'The 3-Statement Projection'!G$6,0)</f>
        <v>0.21476870538283341</v>
      </c>
      <c r="Q7" s="769">
        <f>IFERROR('The 3-Statement Projection'!H10/'The 3-Statement Projection'!H$6,0)</f>
        <v>0.21476870538283341</v>
      </c>
      <c r="R7" s="769">
        <f>IFERROR('The 3-Statement Projection'!I10/'The 3-Statement Projection'!I$6,0)</f>
        <v>0.21476870538283341</v>
      </c>
      <c r="S7" s="769">
        <f>IFERROR('The 3-Statement Projection'!J10/'The 3-Statement Projection'!J$6,0)</f>
        <v>0.21476870538283341</v>
      </c>
      <c r="T7" s="769">
        <f>IFERROR('The 3-Statement Projection'!K10/'The 3-Statement Projection'!K$6,0)</f>
        <v>0.21476870538283341</v>
      </c>
    </row>
    <row r="8" spans="1:20" ht="14.25" customHeight="1" x14ac:dyDescent="0.3">
      <c r="A8" s="36"/>
      <c r="B8" s="36" t="str">
        <f>'Historical FS'!B14</f>
        <v>Employee Benefit Expenses</v>
      </c>
      <c r="C8" s="309">
        <f>IFERROR('Historical FS'!C14/'Historical FS'!C5,0)</f>
        <v>1.990174733433819E-2</v>
      </c>
      <c r="D8" s="309">
        <f>IFERROR('Historical FS'!D14/'Historical FS'!D5,0)</f>
        <v>1.4365145860309238E-2</v>
      </c>
      <c r="E8" s="309">
        <f>IFERROR('Historical FS'!E14/'Historical FS'!E5,0)</f>
        <v>9.2213114754098359E-3</v>
      </c>
      <c r="F8" s="309">
        <f>IFERROR('Historical FS'!F14/'Historical FS'!F5,0)</f>
        <v>1.0404217176028683E-2</v>
      </c>
      <c r="G8" s="309">
        <f>IFERROR('Historical FS'!G14/'Historical FS'!G5,0)</f>
        <v>1.323303532747824E-2</v>
      </c>
      <c r="H8" s="309">
        <f>IFERROR('Historical FS'!H14/'Historical FS'!H5,0)</f>
        <v>1.3465720049252047E-2</v>
      </c>
      <c r="I8" s="309">
        <f>IFERROR('Historical FS'!I14/'Historical FS'!I5,0)</f>
        <v>1.0337664847108834E-2</v>
      </c>
      <c r="J8" s="309">
        <f>IFERROR('Historical FS'!J14/'Historical FS'!J5,0)</f>
        <v>6.1009261767863768E-3</v>
      </c>
      <c r="K8" s="309">
        <f>IFERROR('Historical FS'!K14/'Historical FS'!K5,0)</f>
        <v>9.2955239064089513E-3</v>
      </c>
      <c r="L8" s="309">
        <f>IFERROR('Historical FS'!L14/'Historical FS'!L5,0)</f>
        <v>9.5386703574463078E-3</v>
      </c>
      <c r="M8" s="769">
        <f>IFERROR('The 3-Statement Projection'!D12/'The 3-Statement Projection'!D$6,0)</f>
        <v>9.2999999999999992E-3</v>
      </c>
      <c r="N8" s="769">
        <f>IFERROR('The 3-Statement Projection'!E12/'The 3-Statement Projection'!E$6,0)</f>
        <v>9.2999999999999992E-3</v>
      </c>
      <c r="O8" s="769">
        <f>IFERROR('The 3-Statement Projection'!F12/'The 3-Statement Projection'!F$6,0)</f>
        <v>9.2999999999999992E-3</v>
      </c>
      <c r="P8" s="769">
        <f>IFERROR('The 3-Statement Projection'!G12/'The 3-Statement Projection'!G$6,0)</f>
        <v>9.2999999999999992E-3</v>
      </c>
      <c r="Q8" s="769">
        <f>IFERROR('The 3-Statement Projection'!H12/'The 3-Statement Projection'!H$6,0)</f>
        <v>9.2999999999999992E-3</v>
      </c>
      <c r="R8" s="769">
        <f>IFERROR('The 3-Statement Projection'!I12/'The 3-Statement Projection'!I$6,0)</f>
        <v>9.2999999999999992E-3</v>
      </c>
      <c r="S8" s="769">
        <f>IFERROR('The 3-Statement Projection'!J12/'The 3-Statement Projection'!J$6,0)</f>
        <v>9.2999999999999992E-3</v>
      </c>
      <c r="T8" s="769">
        <f>IFERROR('The 3-Statement Projection'!K12/'The 3-Statement Projection'!K$6,0)</f>
        <v>9.2999999999999992E-3</v>
      </c>
    </row>
    <row r="9" spans="1:20" ht="14.25" customHeight="1" x14ac:dyDescent="0.3">
      <c r="A9" s="36"/>
      <c r="B9" s="36" t="str">
        <f>'Historical FS'!B17</f>
        <v>Selling, General &amp; Admin Expenses</v>
      </c>
      <c r="C9" s="309">
        <f>IFERROR('Historical FS'!C17/'Historical FS'!C5,0)</f>
        <v>5.2643331658571983E-2</v>
      </c>
      <c r="D9" s="309">
        <f>IFERROR('Historical FS'!D17/'Historical FS'!D5,0)</f>
        <v>3.3330794424556325E-2</v>
      </c>
      <c r="E9" s="309">
        <f>IFERROR('Historical FS'!E17/'Historical FS'!E5,0)</f>
        <v>3.8743019275806159E-2</v>
      </c>
      <c r="F9" s="309">
        <f>IFERROR('Historical FS'!F17/'Historical FS'!F5,0)</f>
        <v>4.4273945705992822E-2</v>
      </c>
      <c r="G9" s="309">
        <f>IFERROR('Historical FS'!G17/'Historical FS'!G5,0)</f>
        <v>4.6368135691124149E-2</v>
      </c>
      <c r="H9" s="309">
        <f>IFERROR('Historical FS'!H17/'Historical FS'!H5,0)</f>
        <v>4.677634853684734E-2</v>
      </c>
      <c r="I9" s="309">
        <f>IFERROR('Historical FS'!I17/'Historical FS'!I5,0)</f>
        <v>3.6882276218540164E-2</v>
      </c>
      <c r="J9" s="309">
        <f>IFERROR('Historical FS'!J17/'Historical FS'!J5,0)</f>
        <v>2.5211475360486468E-2</v>
      </c>
      <c r="K9" s="309">
        <f>IFERROR('Historical FS'!K17/'Historical FS'!K5,0)</f>
        <v>3.7423702950152592E-2</v>
      </c>
      <c r="L9" s="309">
        <f>IFERROR('Historical FS'!L17/'Historical FS'!L5,0)</f>
        <v>4.1441114073947405E-2</v>
      </c>
      <c r="M9" s="769">
        <f>IFERROR('The 3-Statement Projection'!D13/'The 3-Statement Projection'!D$6,0)</f>
        <v>3.7400000000000003E-2</v>
      </c>
      <c r="N9" s="769">
        <f>IFERROR('The 3-Statement Projection'!E13/'The 3-Statement Projection'!E$6,0)</f>
        <v>3.7400000000000003E-2</v>
      </c>
      <c r="O9" s="769">
        <f>IFERROR('The 3-Statement Projection'!F13/'The 3-Statement Projection'!F$6,0)</f>
        <v>3.7400000000000003E-2</v>
      </c>
      <c r="P9" s="769">
        <f>IFERROR('The 3-Statement Projection'!G13/'The 3-Statement Projection'!G$6,0)</f>
        <v>3.7400000000000003E-2</v>
      </c>
      <c r="Q9" s="769">
        <f>IFERROR('The 3-Statement Projection'!H13/'The 3-Statement Projection'!H$6,0)</f>
        <v>3.7400000000000003E-2</v>
      </c>
      <c r="R9" s="769">
        <f>IFERROR('The 3-Statement Projection'!I13/'The 3-Statement Projection'!I$6,0)</f>
        <v>3.7400000000000003E-2</v>
      </c>
      <c r="S9" s="769">
        <f>IFERROR('The 3-Statement Projection'!J13/'The 3-Statement Projection'!J$6,0)</f>
        <v>3.7400000000000003E-2</v>
      </c>
      <c r="T9" s="769">
        <f>IFERROR('The 3-Statement Projection'!K13/'The 3-Statement Projection'!K$6,0)</f>
        <v>3.7400000000000003E-2</v>
      </c>
    </row>
    <row r="10" spans="1:20" ht="14.25" customHeight="1" x14ac:dyDescent="0.3">
      <c r="A10" s="36"/>
      <c r="B10" s="256" t="str">
        <f>'Historical FS'!B20</f>
        <v>EBITDA</v>
      </c>
      <c r="C10" s="310">
        <f>IFERROR('Historical FS'!C20/'Historical FS'!C5,0)</f>
        <v>-1.4402947579969894E-2</v>
      </c>
      <c r="D10" s="310">
        <f>IFERROR('Historical FS'!D20/'Historical FS'!D5,0)</f>
        <v>0.16700434153400859</v>
      </c>
      <c r="E10" s="310">
        <f>IFERROR('Historical FS'!E20/'Historical FS'!E5,0)</f>
        <v>0.18352549090254011</v>
      </c>
      <c r="F10" s="310">
        <f>IFERROR('Historical FS'!F20/'Historical FS'!F5,0)</f>
        <v>0.14014213761311256</v>
      </c>
      <c r="G10" s="310">
        <f>IFERROR('Historical FS'!G20/'Historical FS'!G5,0)</f>
        <v>6.6690297086894362E-2</v>
      </c>
      <c r="H10" s="310">
        <f>IFERROR('Historical FS'!H20/'Historical FS'!H5,0)</f>
        <v>0.19332739514290956</v>
      </c>
      <c r="I10" s="310">
        <f>IFERROR('Historical FS'!I20/'Historical FS'!I5,0)</f>
        <v>0.30305299260905283</v>
      </c>
      <c r="J10" s="310">
        <f>IFERROR('Historical FS'!J20/'Historical FS'!J5,0)</f>
        <v>0.13041231423783595</v>
      </c>
      <c r="K10" s="310">
        <f>IFERROR('Historical FS'!K20/'Historical FS'!K5,0)</f>
        <v>0.10350966429298049</v>
      </c>
      <c r="L10" s="310">
        <f>IFERROR('Historical FS'!L20/'Historical FS'!L5,0)</f>
        <v>0.10711098523510022</v>
      </c>
      <c r="M10" s="769">
        <f>IFERROR('The 3-Statement Projection'!D15/'The 3-Statement Projection'!D$6,0)</f>
        <v>0.18247245056367206</v>
      </c>
      <c r="N10" s="769">
        <f>IFERROR('The 3-Statement Projection'!E15/'The 3-Statement Projection'!E$6,0)</f>
        <v>0.16406870538283339</v>
      </c>
      <c r="O10" s="769">
        <f>IFERROR('The 3-Statement Projection'!F15/'The 3-Statement Projection'!F$6,0)</f>
        <v>0.16606870538283336</v>
      </c>
      <c r="P10" s="769">
        <f>IFERROR('The 3-Statement Projection'!G15/'The 3-Statement Projection'!G$6,0)</f>
        <v>0.16806870538283342</v>
      </c>
      <c r="Q10" s="769">
        <f>IFERROR('The 3-Statement Projection'!H15/'The 3-Statement Projection'!H$6,0)</f>
        <v>0.16806870538283342</v>
      </c>
      <c r="R10" s="769">
        <f>IFERROR('The 3-Statement Projection'!I15/'The 3-Statement Projection'!I$6,0)</f>
        <v>0.16806870538283342</v>
      </c>
      <c r="S10" s="769">
        <f>IFERROR('The 3-Statement Projection'!J15/'The 3-Statement Projection'!J$6,0)</f>
        <v>0.16806870538283342</v>
      </c>
      <c r="T10" s="769">
        <f>IFERROR('The 3-Statement Projection'!K15/'The 3-Statement Projection'!K$6,0)</f>
        <v>0.16806870538283342</v>
      </c>
    </row>
    <row r="11" spans="1:20" ht="14.25" customHeight="1" x14ac:dyDescent="0.3">
      <c r="A11" s="36"/>
      <c r="B11" s="36" t="str">
        <f>'Historical FS'!B23</f>
        <v>Depreciation</v>
      </c>
      <c r="C11" s="309">
        <f>IFERROR('Historical FS'!C23/'Historical FS'!C5,0)</f>
        <v>8.1253837994752415E-2</v>
      </c>
      <c r="D11" s="309">
        <f>IFERROR('Historical FS'!D23/'Historical FS'!D5,0)</f>
        <v>4.4694950110442527E-2</v>
      </c>
      <c r="E11" s="309">
        <f>IFERROR('Historical FS'!E23/'Historical FS'!E5,0)</f>
        <v>3.0726445685462078E-2</v>
      </c>
      <c r="F11" s="309">
        <f>IFERROR('Historical FS'!F23/'Historical FS'!F5,0)</f>
        <v>1.8386119173638381E-2</v>
      </c>
      <c r="G11" s="309">
        <f>IFERROR('Historical FS'!G23/'Historical FS'!G5,0)</f>
        <v>2.3577908182689403E-2</v>
      </c>
      <c r="H11" s="309">
        <f>IFERROR('Historical FS'!H23/'Historical FS'!H5,0)</f>
        <v>2.6184799979041676E-2</v>
      </c>
      <c r="I11" s="309">
        <f>IFERROR('Historical FS'!I23/'Historical FS'!I5,0)</f>
        <v>1.7076469735761556E-2</v>
      </c>
      <c r="J11" s="309">
        <f>IFERROR('Historical FS'!J23/'Historical FS'!J5,0)</f>
        <v>1.0761913362834521E-2</v>
      </c>
      <c r="K11" s="309">
        <f>IFERROR('Historical FS'!K23/'Historical FS'!K5,0)</f>
        <v>1.3421922685656153E-2</v>
      </c>
      <c r="L11" s="309">
        <f>IFERROR('Historical FS'!L23/'Historical FS'!L5,0)</f>
        <v>1.6555070457909615E-2</v>
      </c>
      <c r="M11" s="769">
        <f>IFERROR('The 3-Statement Projection'!D18/'The 3-Statement Projection'!D$6,0)</f>
        <v>2.1966851006151453E-2</v>
      </c>
      <c r="N11" s="769">
        <f>IFERROR('The 3-Statement Projection'!E18/'The 3-Statement Projection'!E$6,0)</f>
        <v>2.1379117717566506E-2</v>
      </c>
      <c r="O11" s="769">
        <f>IFERROR('The 3-Statement Projection'!F18/'The 3-Statement Projection'!F$6,0)</f>
        <v>2.1950889981493488E-2</v>
      </c>
      <c r="P11" s="769">
        <f>IFERROR('The 3-Statement Projection'!G18/'The 3-Statement Projection'!G$6,0)</f>
        <v>2.2536956552018636E-2</v>
      </c>
      <c r="Q11" s="769">
        <f>IFERROR('The 3-Statement Projection'!H18/'The 3-Statement Projection'!H$6,0)</f>
        <v>2.3137674786806919E-2</v>
      </c>
      <c r="R11" s="769">
        <f>IFERROR('The 3-Statement Projection'!I18/'The 3-Statement Projection'!I$6,0)</f>
        <v>2.375341097746491E-2</v>
      </c>
      <c r="S11" s="769">
        <f>IFERROR('The 3-Statement Projection'!J18/'The 3-Statement Projection'!J$6,0)</f>
        <v>2.4384540572889354E-2</v>
      </c>
      <c r="T11" s="769">
        <f>IFERROR('The 3-Statement Projection'!K18/'The 3-Statement Projection'!K$6,0)</f>
        <v>2.503144840819941E-2</v>
      </c>
    </row>
    <row r="12" spans="1:20" ht="14.25" customHeight="1" x14ac:dyDescent="0.3">
      <c r="A12" s="36"/>
      <c r="B12" s="162" t="str">
        <f>'Historical FS'!B26</f>
        <v>EBIT</v>
      </c>
      <c r="C12" s="308">
        <f>IFERROR('Historical FS'!C26/'Historical FS'!C5,0)</f>
        <v>-9.5656785574722306E-2</v>
      </c>
      <c r="D12" s="308">
        <f>IFERROR('Historical FS'!D26/'Historical FS'!D5,0)</f>
        <v>0.12230939142356605</v>
      </c>
      <c r="E12" s="308">
        <f>IFERROR('Historical FS'!E26/'Historical FS'!E5,0)</f>
        <v>0.15279904521707804</v>
      </c>
      <c r="F12" s="308">
        <f>IFERROR('Historical FS'!F26/'Historical FS'!F5,0)</f>
        <v>0.12175601843947417</v>
      </c>
      <c r="G12" s="308">
        <f>IFERROR('Historical FS'!G26/'Historical FS'!G5,0)</f>
        <v>4.3112388904204962E-2</v>
      </c>
      <c r="H12" s="308">
        <f>IFERROR('Historical FS'!H26/'Historical FS'!H5,0)</f>
        <v>0.1671425951638679</v>
      </c>
      <c r="I12" s="308">
        <f>IFERROR('Historical FS'!I26/'Historical FS'!I5,0)</f>
        <v>0.28597652287329128</v>
      </c>
      <c r="J12" s="308">
        <f>IFERROR('Historical FS'!J26/'Historical FS'!J5,0)</f>
        <v>0.11965040087500142</v>
      </c>
      <c r="K12" s="308">
        <f>IFERROR('Historical FS'!K26/'Historical FS'!K5,0)</f>
        <v>9.0087741607324329E-2</v>
      </c>
      <c r="L12" s="308">
        <f>IFERROR('Historical FS'!L26/'Historical FS'!L5,0)</f>
        <v>9.0555914777190619E-2</v>
      </c>
      <c r="M12" s="769">
        <f>IFERROR('The 3-Statement Projection'!D19/'The 3-Statement Projection'!D$6,0)</f>
        <v>0.16050559955752061</v>
      </c>
      <c r="N12" s="769">
        <f>IFERROR('The 3-Statement Projection'!E19/'The 3-Statement Projection'!E$6,0)</f>
        <v>0.1426895876652669</v>
      </c>
      <c r="O12" s="769">
        <f>IFERROR('The 3-Statement Projection'!F19/'The 3-Statement Projection'!F$6,0)</f>
        <v>0.14411781540133989</v>
      </c>
      <c r="P12" s="769">
        <f>IFERROR('The 3-Statement Projection'!G19/'The 3-Statement Projection'!G$6,0)</f>
        <v>0.14553174883081479</v>
      </c>
      <c r="Q12" s="769">
        <f>IFERROR('The 3-Statement Projection'!H19/'The 3-Statement Projection'!H$6,0)</f>
        <v>0.14493103059602649</v>
      </c>
      <c r="R12" s="769">
        <f>IFERROR('The 3-Statement Projection'!I19/'The 3-Statement Projection'!I$6,0)</f>
        <v>0.14431529440536853</v>
      </c>
      <c r="S12" s="769">
        <f>IFERROR('The 3-Statement Projection'!J19/'The 3-Statement Projection'!J$6,0)</f>
        <v>0.14368416480994406</v>
      </c>
      <c r="T12" s="769">
        <f>IFERROR('The 3-Statement Projection'!K19/'The 3-Statement Projection'!K$6,0)</f>
        <v>0.14303725697463401</v>
      </c>
    </row>
    <row r="13" spans="1:20" ht="14.25" customHeight="1" x14ac:dyDescent="0.3">
      <c r="A13" s="36"/>
      <c r="B13" s="36" t="str">
        <f>'Historical FS'!B29</f>
        <v>Finance Costs</v>
      </c>
      <c r="C13" s="309">
        <f>IFERROR('Historical FS'!C29/'Historical FS'!C5,0)</f>
        <v>2.5986713559984369E-2</v>
      </c>
      <c r="D13" s="309">
        <f>IFERROR('Historical FS'!D29/'Historical FS'!D5,0)</f>
        <v>8.0752532561505053E-2</v>
      </c>
      <c r="E13" s="309">
        <f>IFERROR('Historical FS'!E29/'Historical FS'!E5,0)</f>
        <v>6.7499099261394344E-2</v>
      </c>
      <c r="F13" s="309">
        <f>IFERROR('Historical FS'!F29/'Historical FS'!F5,0)</f>
        <v>5.888253372033464E-2</v>
      </c>
      <c r="G13" s="309">
        <f>IFERROR('Historical FS'!G29/'Historical FS'!G5,0)</f>
        <v>6.7937458154464184E-2</v>
      </c>
      <c r="H13" s="309">
        <f>IFERROR('Historical FS'!H29/'Historical FS'!H5,0)</f>
        <v>6.6752246469833118E-2</v>
      </c>
      <c r="I13" s="309">
        <f>IFERROR('Historical FS'!I29/'Historical FS'!I5,0)</f>
        <v>2.8106532695682973E-2</v>
      </c>
      <c r="J13" s="309">
        <f>IFERROR('Historical FS'!J29/'Historical FS'!J5,0)</f>
        <v>1.6657133969515438E-2</v>
      </c>
      <c r="K13" s="309">
        <f>IFERROR('Historical FS'!K29/'Historical FS'!K5,0)</f>
        <v>2.5343336724313322E-2</v>
      </c>
      <c r="L13" s="309">
        <f>IFERROR('Historical FS'!L29/'Historical FS'!L5,0)</f>
        <v>1.7907050065995841E-2</v>
      </c>
      <c r="M13" s="769">
        <f ca="1">IFERROR('The 3-Statement Projection'!D21/'The 3-Statement Projection'!D$6,0)</f>
        <v>2.8519933187298407E-2</v>
      </c>
      <c r="N13" s="769">
        <f ca="1">IFERROR('The 3-Statement Projection'!E21/'The 3-Statement Projection'!E$6,0)</f>
        <v>2.109876557253787E-2</v>
      </c>
      <c r="O13" s="769">
        <f ca="1">IFERROR('The 3-Statement Projection'!F21/'The 3-Statement Projection'!F$6,0)</f>
        <v>1.6093697128401491E-2</v>
      </c>
      <c r="P13" s="769">
        <f ca="1">IFERROR('The 3-Statement Projection'!G21/'The 3-Statement Projection'!G$6,0)</f>
        <v>1.4175324604881885E-2</v>
      </c>
      <c r="Q13" s="769">
        <f ca="1">IFERROR('The 3-Statement Projection'!H21/'The 3-Statement Projection'!H$6,0)</f>
        <v>1.232458701007611E-2</v>
      </c>
      <c r="R13" s="769">
        <f ca="1">IFERROR('The 3-Statement Projection'!I21/'The 3-Statement Projection'!I$6,0)</f>
        <v>1.047999804515341E-2</v>
      </c>
      <c r="S13" s="769">
        <f ca="1">IFERROR('The 3-Statement Projection'!J21/'The 3-Statement Projection'!J$6,0)</f>
        <v>8.6354090802307094E-3</v>
      </c>
      <c r="T13" s="769">
        <f ca="1">IFERROR('The 3-Statement Projection'!K21/'The 3-Statement Projection'!K$6,0)</f>
        <v>6.79082011530801E-3</v>
      </c>
    </row>
    <row r="14" spans="1:20" ht="14.25" customHeight="1" x14ac:dyDescent="0.3">
      <c r="A14" s="36"/>
      <c r="B14" s="36" t="s">
        <v>460</v>
      </c>
      <c r="C14" s="309">
        <f>IFERROR('Historical FS'!C32/'Historical FS'!C5,0)</f>
        <v>0</v>
      </c>
      <c r="D14" s="309">
        <f>IFERROR('Historical FS'!D32/'Historical FS'!D5,0)</f>
        <v>1.3131236194683524E-2</v>
      </c>
      <c r="E14" s="309">
        <f>IFERROR('Historical FS'!E32/'Historical FS'!E5,0)</f>
        <v>6.8456134029904522E-3</v>
      </c>
      <c r="F14" s="309">
        <f>IFERROR('Historical FS'!F32/'Historical FS'!F5,0)</f>
        <v>5.8370326105514764E-3</v>
      </c>
      <c r="G14" s="309">
        <f>IFERROR('Historical FS'!G32/'Historical FS'!G5,0)</f>
        <v>6.5771336300263867E-3</v>
      </c>
      <c r="H14" s="309">
        <f>IFERROR('Historical FS'!H32/'Historical FS'!H5,0)</f>
        <v>4.4143459694532487E-3</v>
      </c>
      <c r="I14" s="309">
        <f>IFERROR('Historical FS'!I32/'Historical FS'!I5,0)</f>
        <v>4.0094681416356689E-3</v>
      </c>
      <c r="J14" s="309">
        <f>IFERROR('Historical FS'!J32/'Historical FS'!J5,0)</f>
        <v>7.1746089085563481E-3</v>
      </c>
      <c r="K14" s="309">
        <f>IFERROR('Historical FS'!K32/'Historical FS'!K5,0)</f>
        <v>2.5807477110885046E-2</v>
      </c>
      <c r="L14" s="309">
        <f>IFERROR('Historical FS'!L32/'Historical FS'!L5,0)</f>
        <v>9.9928927554199416E-3</v>
      </c>
      <c r="M14" s="769">
        <f>IFERROR('The 3-Statement Projection'!D20/'The 3-Statement Projection'!D$6,0)</f>
        <v>1.301227973093325E-2</v>
      </c>
      <c r="N14" s="769">
        <f>IFERROR('The 3-Statement Projection'!E20/'The 3-Statement Projection'!E$6,0)</f>
        <v>0</v>
      </c>
      <c r="O14" s="769">
        <f>IFERROR('The 3-Statement Projection'!F20/'The 3-Statement Projection'!F$6,0)</f>
        <v>0</v>
      </c>
      <c r="P14" s="769">
        <f>IFERROR('The 3-Statement Projection'!G20/'The 3-Statement Projection'!G$6,0)</f>
        <v>0</v>
      </c>
      <c r="Q14" s="769">
        <f>IFERROR('The 3-Statement Projection'!H20/'The 3-Statement Projection'!H$6,0)</f>
        <v>0</v>
      </c>
      <c r="R14" s="769">
        <f>IFERROR('The 3-Statement Projection'!I20/'The 3-Statement Projection'!I$6,0)</f>
        <v>0</v>
      </c>
      <c r="S14" s="769">
        <f>IFERROR('The 3-Statement Projection'!J20/'The 3-Statement Projection'!J$6,0)</f>
        <v>0</v>
      </c>
      <c r="T14" s="769">
        <f>IFERROR('The 3-Statement Projection'!K20/'The 3-Statement Projection'!K$6,0)</f>
        <v>0</v>
      </c>
    </row>
    <row r="15" spans="1:20" ht="14.25" customHeight="1" x14ac:dyDescent="0.3">
      <c r="A15" s="36"/>
      <c r="B15" s="36" t="str">
        <f>'Historical FS'!B35</f>
        <v>Net Extraordinary Items</v>
      </c>
      <c r="C15" s="309">
        <f>IFERROR('Historical FS'!C35/'Historical FS'!C5,0)</f>
        <v>-1.5240328253223917E-2</v>
      </c>
      <c r="D15" s="309">
        <f>IFERROR('Historical FS'!D35/'Historical FS'!D5,0)</f>
        <v>1.721380150811181E-3</v>
      </c>
      <c r="E15" s="309">
        <f>IFERROR('Historical FS'!E35/'Historical FS'!E5,0)</f>
        <v>1.7564402810304452E-3</v>
      </c>
      <c r="F15" s="309">
        <f>IFERROR('Historical FS'!F35/'Historical FS'!F5,0)</f>
        <v>1.0670991975414035E-4</v>
      </c>
      <c r="G15" s="309">
        <f>IFERROR('Historical FS'!G35/'Historical FS'!G5,0)</f>
        <v>2.6256022475155245E-4</v>
      </c>
      <c r="H15" s="309">
        <f>IFERROR('Historical FS'!H35/'Historical FS'!H5,0)</f>
        <v>3.8641900919546249E-3</v>
      </c>
      <c r="I15" s="309">
        <f>IFERROR('Historical FS'!I35/'Historical FS'!I5,0)</f>
        <v>3.1802006344298986E-3</v>
      </c>
      <c r="J15" s="309">
        <f>IFERROR('Historical FS'!J35/'Historical FS'!J5,0)</f>
        <v>0</v>
      </c>
      <c r="K15" s="309">
        <f>IFERROR('Historical FS'!K35/'Historical FS'!K5,0)</f>
        <v>-4.4061546286876902E-3</v>
      </c>
      <c r="L15" s="309">
        <f>IFERROR('Historical FS'!L35/'Historical FS'!L5,0)</f>
        <v>0</v>
      </c>
      <c r="M15" s="769">
        <v>0</v>
      </c>
      <c r="N15" s="769">
        <v>0</v>
      </c>
      <c r="O15" s="769">
        <v>0</v>
      </c>
      <c r="P15" s="769">
        <v>0</v>
      </c>
      <c r="Q15" s="769">
        <v>0</v>
      </c>
      <c r="R15" s="769">
        <v>0</v>
      </c>
      <c r="S15" s="769">
        <v>0</v>
      </c>
      <c r="T15" s="769">
        <v>0</v>
      </c>
    </row>
    <row r="16" spans="1:20" ht="14.25" customHeight="1" x14ac:dyDescent="0.3">
      <c r="A16" s="36"/>
      <c r="B16" s="162" t="str">
        <f>'Historical FS'!B37</f>
        <v>Profit Before Tax</v>
      </c>
      <c r="C16" s="184">
        <f>IFERROR('Historical FS'!C37/'Historical FS'!C5,0)</f>
        <v>-0.13688382738793059</v>
      </c>
      <c r="D16" s="184">
        <f>IFERROR('Historical FS'!D37/'Historical FS'!D5,0)</f>
        <v>5.6409475207555695E-2</v>
      </c>
      <c r="E16" s="184">
        <f>IFERROR('Historical FS'!E37/'Historical FS'!E5,0)</f>
        <v>9.3901999639704609E-2</v>
      </c>
      <c r="F16" s="184">
        <f>IFERROR('Historical FS'!F37/'Historical FS'!F5,0)</f>
        <v>6.8817227249445154E-2</v>
      </c>
      <c r="G16" s="184">
        <f>IFERROR('Historical FS'!G37/'Historical FS'!G5,0)</f>
        <v>-1.7985375395481278E-2</v>
      </c>
      <c r="H16" s="184">
        <f>IFERROR('Historical FS'!H37/'Historical FS'!H5,0)</f>
        <v>0.10866888475544262</v>
      </c>
      <c r="I16" s="184">
        <f>IFERROR('Historical FS'!I37/'Historical FS'!I5,0)</f>
        <v>0.26505965895367389</v>
      </c>
      <c r="J16" s="184">
        <f>IFERROR('Historical FS'!J37/'Historical FS'!J5,0)</f>
        <v>0.11016787581404235</v>
      </c>
      <c r="K16" s="184">
        <f>IFERROR('Historical FS'!K37/'Historical FS'!K5,0)</f>
        <v>8.6145727365208355E-2</v>
      </c>
      <c r="L16" s="184">
        <f>IFERROR('Historical FS'!L37/'Historical FS'!L5,0)</f>
        <v>8.2641757466614715E-2</v>
      </c>
      <c r="M16" s="769">
        <f ca="1">IFERROR('The 3-Statement Projection'!D23/'The 3-Statement Projection'!D$6,0)</f>
        <v>0.14499794610115543</v>
      </c>
      <c r="N16" s="769">
        <f ca="1">IFERROR('The 3-Statement Projection'!E23/'The 3-Statement Projection'!E$6,0)</f>
        <v>0.12159082209272902</v>
      </c>
      <c r="O16" s="769">
        <f ca="1">IFERROR('The 3-Statement Projection'!F23/'The 3-Statement Projection'!F$6,0)</f>
        <v>0.12802411827293839</v>
      </c>
      <c r="P16" s="769">
        <f ca="1">IFERROR('The 3-Statement Projection'!G23/'The 3-Statement Projection'!G$6,0)</f>
        <v>0.13135642422593291</v>
      </c>
      <c r="Q16" s="769">
        <f ca="1">IFERROR('The 3-Statement Projection'!H23/'The 3-Statement Projection'!H$6,0)</f>
        <v>0.13260644358595036</v>
      </c>
      <c r="R16" s="769">
        <f ca="1">IFERROR('The 3-Statement Projection'!I23/'The 3-Statement Projection'!I$6,0)</f>
        <v>0.1338352963602151</v>
      </c>
      <c r="S16" s="769">
        <f ca="1">IFERROR('The 3-Statement Projection'!J23/'The 3-Statement Projection'!J$6,0)</f>
        <v>0.13504875572971334</v>
      </c>
      <c r="T16" s="769">
        <f ca="1">IFERROR('The 3-Statement Projection'!K23/'The 3-Statement Projection'!K$6,0)</f>
        <v>0.136246436859326</v>
      </c>
    </row>
    <row r="17" spans="1:20" ht="14.25" customHeight="1" x14ac:dyDescent="0.3">
      <c r="A17" s="36"/>
      <c r="B17" s="36" t="str">
        <f>'Historical FS'!B40</f>
        <v>Provision for Direct Tax</v>
      </c>
      <c r="C17" s="309">
        <f>IFERROR('Historical FS'!C40/'Historical FS'!C5,0)</f>
        <v>-4.7367833417071396E-2</v>
      </c>
      <c r="D17" s="309">
        <f>IFERROR('Historical FS'!D40/'Historical FS'!D5,0)</f>
        <v>1.9590220123390966E-2</v>
      </c>
      <c r="E17" s="309">
        <f>IFERROR('Historical FS'!E40/'Historical FS'!E5,0)</f>
        <v>2.9532967032967036E-2</v>
      </c>
      <c r="F17" s="309">
        <f>IFERROR('Historical FS'!F40/'Historical FS'!F5,0)</f>
        <v>2.6015878436059413E-2</v>
      </c>
      <c r="G17" s="309">
        <f>IFERROR('Historical FS'!G40/'Historical FS'!G5,0)</f>
        <v>-2.5599621913276359E-3</v>
      </c>
      <c r="H17" s="309">
        <f>IFERROR('Historical FS'!H40/'Historical FS'!H5,0)</f>
        <v>3.2878363155274946E-2</v>
      </c>
      <c r="I17" s="309">
        <f>IFERROR('Historical FS'!I40/'Historical FS'!I5,0)</f>
        <v>7.279036439463471E-2</v>
      </c>
      <c r="J17" s="309">
        <f>IFERROR('Historical FS'!J40/'Historical FS'!J5,0)</f>
        <v>2.7393961287215149E-2</v>
      </c>
      <c r="K17" s="309">
        <f>IFERROR('Historical FS'!K40/'Historical FS'!K5,0)</f>
        <v>2.2870040691759914E-2</v>
      </c>
      <c r="L17" s="309">
        <f>IFERROR('Historical FS'!L40/'Historical FS'!L5,0)</f>
        <v>2.1401890633934152E-2</v>
      </c>
      <c r="M17" s="769">
        <f ca="1">IFERROR('The 3-Statement Projection'!D25/'The 3-Statement Projection'!D$6,0)</f>
        <v>3.6493083074738794E-2</v>
      </c>
      <c r="N17" s="769">
        <f ca="1">IFERROR('The 3-Statement Projection'!E25/'The 3-Statement Projection'!E$6,0)</f>
        <v>3.0601978104298048E-2</v>
      </c>
      <c r="O17" s="769">
        <f ca="1">IFERROR('The 3-Statement Projection'!F25/'The 3-Statement Projection'!F$6,0)</f>
        <v>3.2221110086933138E-2</v>
      </c>
      <c r="P17" s="769">
        <f ca="1">IFERROR('The 3-Statement Projection'!G25/'The 3-Statement Projection'!G$6,0)</f>
        <v>3.3059784849182802E-2</v>
      </c>
      <c r="Q17" s="769">
        <f ca="1">IFERROR('The 3-Statement Projection'!H25/'The 3-Statement Projection'!H$6,0)</f>
        <v>3.3374389721712E-2</v>
      </c>
      <c r="R17" s="769">
        <f ca="1">IFERROR('The 3-Statement Projection'!I25/'The 3-Statement Projection'!I$6,0)</f>
        <v>3.3683667387938938E-2</v>
      </c>
      <c r="S17" s="769">
        <f ca="1">IFERROR('The 3-Statement Projection'!J25/'The 3-Statement Projection'!J$6,0)</f>
        <v>3.3989070842054263E-2</v>
      </c>
      <c r="T17" s="769">
        <f ca="1">IFERROR('The 3-Statement Projection'!K25/'The 3-Statement Projection'!K$6,0)</f>
        <v>3.4290503228755168E-2</v>
      </c>
    </row>
    <row r="18" spans="1:20" ht="15" customHeight="1" x14ac:dyDescent="0.3">
      <c r="A18" s="36"/>
      <c r="B18" s="311" t="str">
        <f>'Historical FS'!B42</f>
        <v>Profit After Tax</v>
      </c>
      <c r="C18" s="312">
        <f>IFERROR('Historical FS'!C42/'Historical FS'!C5,0)</f>
        <v>-8.9515993970859201E-2</v>
      </c>
      <c r="D18" s="312">
        <f>IFERROR('Historical FS'!D42/'Historical FS'!D5,0)</f>
        <v>3.6819255084164726E-2</v>
      </c>
      <c r="E18" s="312">
        <f>IFERROR('Historical FS'!E42/'Historical FS'!E5,0)</f>
        <v>6.4369032606737583E-2</v>
      </c>
      <c r="F18" s="312">
        <f>IFERROR('Historical FS'!F42/'Historical FS'!F5,0)</f>
        <v>4.2801348813385737E-2</v>
      </c>
      <c r="G18" s="312">
        <f>IFERROR('Historical FS'!G42/'Historical FS'!G5,0)</f>
        <v>-1.5425413204153643E-2</v>
      </c>
      <c r="H18" s="312">
        <f>IFERROR('Historical FS'!H42/'Historical FS'!H5,0)</f>
        <v>7.5790521600167665E-2</v>
      </c>
      <c r="I18" s="312">
        <f>IFERROR('Historical FS'!I42/'Historical FS'!I5,0)</f>
        <v>0.19226929455903918</v>
      </c>
      <c r="J18" s="312">
        <f>IFERROR('Historical FS'!J42/'Historical FS'!J5,0)</f>
        <v>8.2773914526827211E-2</v>
      </c>
      <c r="K18" s="312">
        <f>IFERROR('Historical FS'!K42/'Historical FS'!K5,0)</f>
        <v>6.3275686673448447E-2</v>
      </c>
      <c r="L18" s="312">
        <f>IFERROR('Historical FS'!L42/'Historical FS'!L5,0)</f>
        <v>6.123986683268056E-2</v>
      </c>
      <c r="M18" s="769">
        <f ca="1">IFERROR('The 3-Statement Projection'!D27/'The 3-Statement Projection'!D$6,0)</f>
        <v>0.10850486302641663</v>
      </c>
      <c r="N18" s="769">
        <f ca="1">IFERROR('The 3-Statement Projection'!E27/'The 3-Statement Projection'!E$6,0)</f>
        <v>9.098884398843099E-2</v>
      </c>
      <c r="O18" s="769">
        <f ca="1">IFERROR('The 3-Statement Projection'!F27/'The 3-Statement Projection'!F$6,0)</f>
        <v>9.5803008186005248E-2</v>
      </c>
      <c r="P18" s="769">
        <f ca="1">IFERROR('The 3-Statement Projection'!G27/'The 3-Statement Projection'!G$6,0)</f>
        <v>9.8296639376750108E-2</v>
      </c>
      <c r="Q18" s="769">
        <f ca="1">IFERROR('The 3-Statement Projection'!H27/'The 3-Statement Projection'!H$6,0)</f>
        <v>9.9232053864238362E-2</v>
      </c>
      <c r="R18" s="769">
        <f ca="1">IFERROR('The 3-Statement Projection'!I27/'The 3-Statement Projection'!I$6,0)</f>
        <v>0.10015162897227617</v>
      </c>
      <c r="S18" s="769">
        <f ca="1">IFERROR('The 3-Statement Projection'!J27/'The 3-Statement Projection'!J$6,0)</f>
        <v>0.1010596848876591</v>
      </c>
      <c r="T18" s="769">
        <f ca="1">IFERROR('The 3-Statement Projection'!K27/'The 3-Statement Projection'!K$6,0)</f>
        <v>0.10195593363057083</v>
      </c>
    </row>
    <row r="19" spans="1:20" ht="15" customHeight="1" x14ac:dyDescent="0.3">
      <c r="A19" s="36"/>
      <c r="B19" s="36"/>
      <c r="C19" s="36"/>
      <c r="D19" s="36"/>
      <c r="E19" s="36"/>
      <c r="F19" s="36"/>
      <c r="G19" s="36"/>
      <c r="H19" s="36"/>
      <c r="I19" s="36"/>
      <c r="J19" s="36"/>
      <c r="K19" s="36"/>
      <c r="L19" s="36"/>
    </row>
    <row r="20" spans="1:20" ht="14.25" customHeight="1" x14ac:dyDescent="0.3">
      <c r="A20" s="162" t="s">
        <v>2</v>
      </c>
      <c r="B20" s="313" t="str">
        <f>'Historical FS'!B47</f>
        <v>Balance Sheet</v>
      </c>
      <c r="C20" s="314"/>
      <c r="D20" s="314"/>
      <c r="E20" s="314"/>
      <c r="F20" s="314"/>
      <c r="G20" s="314"/>
      <c r="H20" s="314"/>
      <c r="I20" s="314"/>
      <c r="J20" s="314"/>
      <c r="K20" s="314"/>
      <c r="L20" s="314"/>
    </row>
    <row r="21" spans="1:20" ht="14.25" customHeight="1" x14ac:dyDescent="0.3">
      <c r="A21" s="36"/>
      <c r="B21" s="36"/>
      <c r="C21" s="36"/>
      <c r="D21" s="36"/>
      <c r="E21" s="36"/>
      <c r="F21" s="36"/>
      <c r="G21" s="36"/>
      <c r="H21" s="36"/>
      <c r="I21" s="36"/>
      <c r="J21" s="36"/>
      <c r="K21" s="36"/>
      <c r="L21" s="36"/>
    </row>
    <row r="22" spans="1:20" ht="14.25" customHeight="1" x14ac:dyDescent="0.3">
      <c r="A22" s="36"/>
      <c r="B22" s="315" t="s">
        <v>269</v>
      </c>
      <c r="C22" s="36"/>
      <c r="D22" s="36"/>
      <c r="E22" s="36"/>
      <c r="F22" s="36"/>
      <c r="G22" s="36"/>
      <c r="H22" s="36"/>
      <c r="I22" s="36"/>
      <c r="J22" s="36"/>
      <c r="K22" s="36"/>
      <c r="L22" s="36"/>
      <c r="M22" s="769">
        <f ca="1">IFERROR('The 3-Statement Projection'!D34/'The 3-Statement Projection'!D$72,0)</f>
        <v>7.8366096136546368E-2</v>
      </c>
      <c r="N22" s="769">
        <f ca="1">IFERROR('The 3-Statement Projection'!E34/'The 3-Statement Projection'!E$72,0)</f>
        <v>8.0724200024952647E-2</v>
      </c>
      <c r="O22" s="769">
        <f ca="1">IFERROR('The 3-Statement Projection'!F34/'The 3-Statement Projection'!F$72,0)</f>
        <v>7.7571631638467448E-2</v>
      </c>
      <c r="P22" s="769">
        <f ca="1">IFERROR('The 3-Statement Projection'!G34/'The 3-Statement Projection'!G$72,0)</f>
        <v>7.3643922721114211E-2</v>
      </c>
      <c r="Q22" s="769">
        <f ca="1">IFERROR('The 3-Statement Projection'!H34/'The 3-Statement Projection'!H$72,0)</f>
        <v>7.0047065318705443E-2</v>
      </c>
      <c r="R22" s="769">
        <f ca="1">IFERROR('The 3-Statement Projection'!I34/'The 3-Statement Projection'!I$72,0)</f>
        <v>6.6765175716461234E-2</v>
      </c>
      <c r="S22" s="769">
        <f ca="1">IFERROR('The 3-Statement Projection'!J34/'The 3-Statement Projection'!J$72,0)</f>
        <v>6.3756774174700381E-2</v>
      </c>
      <c r="T22" s="769">
        <f ca="1">IFERROR('The 3-Statement Projection'!K34/'The 3-Statement Projection'!K$72,0)</f>
        <v>6.0987770075634752E-2</v>
      </c>
    </row>
    <row r="23" spans="1:20" ht="14.25" customHeight="1" x14ac:dyDescent="0.3">
      <c r="A23" s="36"/>
      <c r="B23" s="36" t="str">
        <f>'Historical FS'!B53</f>
        <v>Share Capital</v>
      </c>
      <c r="C23" s="309">
        <f>IFERROR('Historical FS'!C53/'Historical FS'!C96,0)</f>
        <v>0.14983170484624686</v>
      </c>
      <c r="D23" s="309">
        <f>IFERROR('Historical FS'!D53/'Historical FS'!D96,0)</f>
        <v>0.14871800253985579</v>
      </c>
      <c r="E23" s="309">
        <f>IFERROR('Historical FS'!E53/'Historical FS'!E96,0)</f>
        <v>0.16648455582578453</v>
      </c>
      <c r="F23" s="309">
        <f>IFERROR('Historical FS'!F53/'Historical FS'!F96,0)</f>
        <v>0.16606701278610522</v>
      </c>
      <c r="G23" s="309">
        <f>IFERROR('Historical FS'!G53/'Historical FS'!G96,0)</f>
        <v>0.17204118304113447</v>
      </c>
      <c r="H23" s="309">
        <f>IFERROR('Historical FS'!H53/'Historical FS'!H96,0)</f>
        <v>0.17125762978183356</v>
      </c>
      <c r="I23" s="309">
        <f>IFERROR('Historical FS'!I53/'Historical FS'!I96,0)</f>
        <v>8.7703877936306504E-2</v>
      </c>
      <c r="J23" s="309">
        <f>IFERROR('Historical FS'!J53/'Historical FS'!J96,0)</f>
        <v>9.5026994399919518E-2</v>
      </c>
      <c r="K23" s="309">
        <f>IFERROR('Historical FS'!K53/'Historical FS'!K96,0)</f>
        <v>7.5545437096120632E-2</v>
      </c>
      <c r="L23" s="309">
        <f>IFERROR('Historical FS'!L53/'Historical FS'!L96,0)</f>
        <v>7.1825382030072396E-2</v>
      </c>
      <c r="M23" s="769">
        <f ca="1">IFERROR('The 3-Statement Projection'!D35/'The 3-Statement Projection'!D$72,0)</f>
        <v>0.36607890708393015</v>
      </c>
      <c r="N23" s="769">
        <f ca="1">IFERROR('The 3-Statement Projection'!E35/'The 3-Statement Projection'!E$72,0)</f>
        <v>0.45426488763055589</v>
      </c>
      <c r="O23" s="769">
        <f ca="1">IFERROR('The 3-Statement Projection'!F35/'The 3-Statement Projection'!F$72,0)</f>
        <v>0.51493703369056265</v>
      </c>
      <c r="P23" s="769">
        <f ca="1">IFERROR('The 3-Statement Projection'!G35/'The 3-Statement Projection'!G$72,0)</f>
        <v>0.56539958791880618</v>
      </c>
      <c r="Q23" s="769">
        <f ca="1">IFERROR('The 3-Statement Projection'!H35/'The 3-Statement Projection'!H$72,0)</f>
        <v>0.61132901839550313</v>
      </c>
      <c r="R23" s="769">
        <f ca="1">IFERROR('The 3-Statement Projection'!I35/'The 3-Statement Projection'!I$72,0)</f>
        <v>0.6534848706693327</v>
      </c>
      <c r="S23" s="769">
        <f ca="1">IFERROR('The 3-Statement Projection'!J35/'The 3-Statement Projection'!J$72,0)</f>
        <v>0.69230715067160731</v>
      </c>
      <c r="T23" s="769">
        <f ca="1">IFERROR('The 3-Statement Projection'!K35/'The 3-Statement Projection'!K$72,0)</f>
        <v>0.72816573194124434</v>
      </c>
    </row>
    <row r="24" spans="1:20" ht="14.25" customHeight="1" x14ac:dyDescent="0.3">
      <c r="A24" s="36"/>
      <c r="B24" s="252" t="str">
        <f>'Historical FS'!B54</f>
        <v>Reserves &amp; Surplus</v>
      </c>
      <c r="C24" s="316">
        <f>IFERROR('Historical FS'!C54/'Historical FS'!C96,0)</f>
        <v>-9.9833338779778454E-3</v>
      </c>
      <c r="D24" s="316">
        <f>IFERROR('Historical FS'!D54/'Historical FS'!D96,0)</f>
        <v>-9.5716879545764636E-3</v>
      </c>
      <c r="E24" s="316">
        <f>IFERROR('Historical FS'!E54/'Historical FS'!E96,0)</f>
        <v>0.12927519885328917</v>
      </c>
      <c r="F24" s="316">
        <f>IFERROR('Historical FS'!F54/'Historical FS'!F96,0)</f>
        <v>0.1759818111500463</v>
      </c>
      <c r="G24" s="316">
        <f>IFERROR('Historical FS'!G54/'Historical FS'!G96,0)</f>
        <v>0.16797387208003497</v>
      </c>
      <c r="H24" s="316">
        <f>IFERROR('Historical FS'!H54/'Historical FS'!H96,0)</f>
        <v>0.23713059769142442</v>
      </c>
      <c r="I24" s="316">
        <f>IFERROR('Historical FS'!I54/'Historical FS'!I96,0)</f>
        <v>0.26923338801027508</v>
      </c>
      <c r="J24" s="316">
        <f>IFERROR('Historical FS'!J54/'Historical FS'!J96,0)</f>
        <v>0.40231380570738745</v>
      </c>
      <c r="K24" s="316">
        <f>IFERROR('Historical FS'!K54/'Historical FS'!K96,0)</f>
        <v>0.37286996950244194</v>
      </c>
      <c r="L24" s="316">
        <f>IFERROR('Historical FS'!L54/'Historical FS'!L96,0)</f>
        <v>0.35300164583189081</v>
      </c>
      <c r="M24" s="769">
        <f ca="1">IFERROR('The 3-Statement Projection'!D36/'The 3-Statement Projection'!D$72,0)</f>
        <v>0.44444500322047653</v>
      </c>
      <c r="N24" s="769">
        <f ca="1">IFERROR('The 3-Statement Projection'!E36/'The 3-Statement Projection'!E$72,0)</f>
        <v>0.53498908765550857</v>
      </c>
      <c r="O24" s="769">
        <f ca="1">IFERROR('The 3-Statement Projection'!F36/'The 3-Statement Projection'!F$72,0)</f>
        <v>0.59250866532903002</v>
      </c>
      <c r="P24" s="769">
        <f ca="1">IFERROR('The 3-Statement Projection'!G36/'The 3-Statement Projection'!G$72,0)</f>
        <v>0.63904351063992026</v>
      </c>
      <c r="Q24" s="769">
        <f ca="1">IFERROR('The 3-Statement Projection'!H36/'The 3-Statement Projection'!H$72,0)</f>
        <v>0.68137608371420855</v>
      </c>
      <c r="R24" s="769">
        <f ca="1">IFERROR('The 3-Statement Projection'!I36/'The 3-Statement Projection'!I$72,0)</f>
        <v>0.72025004638579393</v>
      </c>
      <c r="S24" s="769">
        <f ca="1">IFERROR('The 3-Statement Projection'!J36/'The 3-Statement Projection'!J$72,0)</f>
        <v>0.75606392484630769</v>
      </c>
      <c r="T24" s="769">
        <f ca="1">IFERROR('The 3-Statement Projection'!K36/'The 3-Statement Projection'!K$72,0)</f>
        <v>0.78915350201687906</v>
      </c>
    </row>
    <row r="25" spans="1:20" ht="14.25" customHeight="1" x14ac:dyDescent="0.3">
      <c r="A25" s="36"/>
      <c r="B25" s="162" t="str">
        <f>'Historical FS'!B56</f>
        <v>Total Equity</v>
      </c>
      <c r="C25" s="308">
        <f>IFERROR('Historical FS'!C56/'Historical FS'!C96,0)</f>
        <v>0.13984837096826902</v>
      </c>
      <c r="D25" s="308">
        <f>IFERROR('Historical FS'!D56/'Historical FS'!D96,0)</f>
        <v>0.13914631458527932</v>
      </c>
      <c r="E25" s="308">
        <f>IFERROR('Historical FS'!E56/'Historical FS'!E96,0)</f>
        <v>0.29575975467907367</v>
      </c>
      <c r="F25" s="308">
        <f>IFERROR('Historical FS'!F56/'Historical FS'!F96,0)</f>
        <v>0.34204882393615155</v>
      </c>
      <c r="G25" s="308">
        <f>IFERROR('Historical FS'!G56/'Historical FS'!G96,0)</f>
        <v>0.34001505512116942</v>
      </c>
      <c r="H25" s="308">
        <f>IFERROR('Historical FS'!H56/'Historical FS'!H96,0)</f>
        <v>0.40838822747325798</v>
      </c>
      <c r="I25" s="308">
        <f>IFERROR('Historical FS'!I56/'Historical FS'!I96,0)</f>
        <v>0.35693726594658159</v>
      </c>
      <c r="J25" s="308">
        <f>IFERROR('Historical FS'!J56/'Historical FS'!J96,0)</f>
        <v>0.49734080010730691</v>
      </c>
      <c r="K25" s="308">
        <f>IFERROR('Historical FS'!K56/'Historical FS'!K96,0)</f>
        <v>0.44841540659856255</v>
      </c>
      <c r="L25" s="308">
        <f>IFERROR('Historical FS'!L56/'Historical FS'!L96,0)</f>
        <v>0.42482702786196325</v>
      </c>
      <c r="M25" s="769">
        <f ca="1">IFERROR('The 3-Statement Projection'!D39/'The 3-Statement Projection'!D$72,0)</f>
        <v>0.2506436578694286</v>
      </c>
      <c r="N25" s="769">
        <f ca="1">IFERROR('The 3-Statement Projection'!E39/'The 3-Statement Projection'!E$72,0)</f>
        <v>0.2375931404516404</v>
      </c>
      <c r="O25" s="769">
        <f ca="1">IFERROR('The 3-Statement Projection'!F39/'The 3-Statement Projection'!F$72,0)</f>
        <v>0.2023707824279781</v>
      </c>
      <c r="P25" s="769">
        <f ca="1">IFERROR('The 3-Statement Projection'!G39/'The 3-Statement Projection'!G$72,0)</f>
        <v>0.16738496339652578</v>
      </c>
      <c r="Q25" s="769">
        <f ca="1">IFERROR('The 3-Statement Projection'!H39/'The 3-Statement Projection'!H$72,0)</f>
        <v>0.13583468728840542</v>
      </c>
      <c r="R25" s="769">
        <f ca="1">IFERROR('The 3-Statement Projection'!I39/'The 3-Statement Projection'!I$72,0)</f>
        <v>0.10719066030859364</v>
      </c>
      <c r="S25" s="769">
        <f ca="1">IFERROR('The 3-Statement Projection'!J39/'The 3-Statement Projection'!J$72,0)</f>
        <v>8.1084811056441317E-2</v>
      </c>
      <c r="T25" s="769">
        <f ca="1">IFERROR('The 3-Statement Projection'!K39/'The 3-Statement Projection'!K$72,0)</f>
        <v>5.7211367553339214E-2</v>
      </c>
    </row>
    <row r="26" spans="1:20" ht="14.25" customHeight="1" x14ac:dyDescent="0.3">
      <c r="A26" s="36"/>
      <c r="B26" s="36" t="str">
        <f>'Historical FS'!B60</f>
        <v>LT Borrowings (excl. current portion)</v>
      </c>
      <c r="C26" s="309">
        <f>IFERROR('Historical FS'!C60/'Historical FS'!C96,0)</f>
        <v>0</v>
      </c>
      <c r="D26" s="309">
        <f>IFERROR('Historical FS'!D60/'Historical FS'!D96,0)</f>
        <v>0.51234768736684133</v>
      </c>
      <c r="E26" s="309">
        <f>IFERROR('Historical FS'!E60/'Historical FS'!E96,0)</f>
        <v>0.58219073467037941</v>
      </c>
      <c r="F26" s="309">
        <f>IFERROR('Historical FS'!F60/'Historical FS'!F96,0)</f>
        <v>0.47821908657283158</v>
      </c>
      <c r="G26" s="309">
        <f>IFERROR('Historical FS'!G60/'Historical FS'!G96,0)</f>
        <v>0.47534116847166236</v>
      </c>
      <c r="H26" s="309">
        <f>IFERROR('Historical FS'!H60/'Historical FS'!H96,0)</f>
        <v>0.4687254487218227</v>
      </c>
      <c r="I26" s="309">
        <f>IFERROR('Historical FS'!I60/'Historical FS'!I96,0)</f>
        <v>0.31087245829593635</v>
      </c>
      <c r="J26" s="309">
        <f>IFERROR('Historical FS'!J60/'Historical FS'!J96,0)</f>
        <v>0.21731665604775158</v>
      </c>
      <c r="K26" s="309">
        <f>IFERROR('Historical FS'!K60/'Historical FS'!K96,0)</f>
        <v>0.16275139158438012</v>
      </c>
      <c r="L26" s="309">
        <f>IFERROR('Historical FS'!L60/'Historical FS'!L96,0)</f>
        <v>0.14891316505723129</v>
      </c>
      <c r="M26" s="769">
        <f ca="1">IFERROR('The 3-Statement Projection'!D40/'The 3-Statement Projection'!D$72,0)</f>
        <v>4.3454980626304818E-2</v>
      </c>
      <c r="N26" s="769">
        <f ca="1">IFERROR('The 3-Statement Projection'!E40/'The 3-Statement Projection'!E$72,0)</f>
        <v>4.5088582264806019E-2</v>
      </c>
      <c r="O26" s="769">
        <f ca="1">IFERROR('The 3-Statement Projection'!F40/'The 3-Statement Projection'!F$72,0)</f>
        <v>4.2969968795580488E-2</v>
      </c>
      <c r="P26" s="769">
        <f ca="1">IFERROR('The 3-Statement Projection'!G40/'The 3-Statement Projection'!G$72,0)</f>
        <v>3.9893972157834703E-2</v>
      </c>
      <c r="Q26" s="769">
        <f ca="1">IFERROR('The 3-Statement Projection'!H40/'The 3-Statement Projection'!H$72,0)</f>
        <v>3.6617471007072196E-2</v>
      </c>
      <c r="R26" s="769">
        <f ca="1">IFERROR('The 3-Statement Projection'!I40/'The 3-Statement Projection'!I$72,0)</f>
        <v>3.3236067377384208E-2</v>
      </c>
      <c r="S26" s="769">
        <f ca="1">IFERROR('The 3-Statement Projection'!J40/'The 3-Statement Projection'!J$72,0)</f>
        <v>2.9805864943052242E-2</v>
      </c>
      <c r="T26" s="769">
        <f ca="1">IFERROR('The 3-Statement Projection'!K40/'The 3-Statement Projection'!K$72,0)</f>
        <v>2.6367991866533626E-2</v>
      </c>
    </row>
    <row r="27" spans="1:20" ht="14.25" customHeight="1" x14ac:dyDescent="0.3">
      <c r="A27" s="36"/>
      <c r="B27" s="36" t="str">
        <f>'Historical FS'!B61</f>
        <v>Deferred Tax Liability</v>
      </c>
      <c r="C27" s="309">
        <f>IFERROR('Historical FS'!C61/'Historical FS'!C96,0)</f>
        <v>0</v>
      </c>
      <c r="D27" s="309">
        <f>IFERROR('Historical FS'!D61/'Historical FS'!D96,0)</f>
        <v>0</v>
      </c>
      <c r="E27" s="309">
        <f>IFERROR('Historical FS'!E61/'Historical FS'!E96,0)</f>
        <v>3.9688414225793944E-2</v>
      </c>
      <c r="F27" s="309">
        <f>IFERROR('Historical FS'!F61/'Historical FS'!F96,0)</f>
        <v>5.1765560725210075E-2</v>
      </c>
      <c r="G27" s="309">
        <f>IFERROR('Historical FS'!G61/'Historical FS'!G96,0)</f>
        <v>5.1223835656354716E-2</v>
      </c>
      <c r="H27" s="309">
        <f>IFERROR('Historical FS'!H61/'Historical FS'!H96,0)</f>
        <v>6.4144557925908022E-2</v>
      </c>
      <c r="I27" s="309">
        <f>IFERROR('Historical FS'!I61/'Historical FS'!I96,0)</f>
        <v>3.9689269908080839E-2</v>
      </c>
      <c r="J27" s="309">
        <f>IFERROR('Historical FS'!J61/'Historical FS'!J96,0)</f>
        <v>4.4324469333691024E-2</v>
      </c>
      <c r="K27" s="309">
        <f>IFERROR('Historical FS'!K61/'Historical FS'!K96,0)</f>
        <v>3.5274797927019132E-2</v>
      </c>
      <c r="L27" s="309">
        <f>IFERROR('Historical FS'!L61/'Historical FS'!L96,0)</f>
        <v>3.8828849462308329E-2</v>
      </c>
      <c r="M27" s="769">
        <f ca="1">IFERROR('The 3-Statement Projection'!D41/'The 3-Statement Projection'!D$72,0)</f>
        <v>1.6480194439088824E-3</v>
      </c>
      <c r="N27" s="769">
        <f ca="1">IFERROR('The 3-Statement Projection'!E41/'The 3-Statement Projection'!E$72,0)</f>
        <v>1.7910100240726343E-3</v>
      </c>
      <c r="O27" s="769">
        <f ca="1">IFERROR('The 3-Statement Projection'!F41/'The 3-Statement Projection'!F$72,0)</f>
        <v>1.7210646845087344E-3</v>
      </c>
      <c r="P27" s="769">
        <f ca="1">IFERROR('The 3-Statement Projection'!G41/'The 3-Statement Projection'!G$72,0)</f>
        <v>1.6339214729260284E-3</v>
      </c>
      <c r="Q27" s="769">
        <f ca="1">IFERROR('The 3-Statement Projection'!H41/'The 3-Statement Projection'!H$72,0)</f>
        <v>1.5541187909436406E-3</v>
      </c>
      <c r="R27" s="769">
        <f ca="1">IFERROR('The 3-Statement Projection'!I41/'The 3-Statement Projection'!I$72,0)</f>
        <v>1.4813042300845399E-3</v>
      </c>
      <c r="S27" s="769">
        <f ca="1">IFERROR('The 3-Statement Projection'!J41/'The 3-Statement Projection'!J$72,0)</f>
        <v>1.41455748851183E-3</v>
      </c>
      <c r="T27" s="769">
        <f ca="1">IFERROR('The 3-Statement Projection'!K41/'The 3-Statement Projection'!K$72,0)</f>
        <v>1.3531222052065538E-3</v>
      </c>
    </row>
    <row r="28" spans="1:20" ht="14.25" customHeight="1" x14ac:dyDescent="0.3">
      <c r="A28" s="36"/>
      <c r="B28" s="36" t="str">
        <f>'Historical FS'!B62</f>
        <v>Long-term Provisions</v>
      </c>
      <c r="C28" s="309">
        <f>IFERROR('Historical FS'!C62/'Historical FS'!C96,0)</f>
        <v>5.718767360543773E-4</v>
      </c>
      <c r="D28" s="309">
        <f>IFERROR('Historical FS'!D62/'Historical FS'!D96,0)</f>
        <v>7.241737597212456E-4</v>
      </c>
      <c r="E28" s="309">
        <f>IFERROR('Historical FS'!E62/'Historical FS'!E96,0)</f>
        <v>1.1396613913268244E-3</v>
      </c>
      <c r="F28" s="309">
        <f>IFERROR('Historical FS'!F62/'Historical FS'!F96,0)</f>
        <v>1.2305600806309844E-3</v>
      </c>
      <c r="G28" s="309">
        <f>IFERROR('Historical FS'!G62/'Historical FS'!G96,0)</f>
        <v>1.6390656111893546E-3</v>
      </c>
      <c r="H28" s="309">
        <f>IFERROR('Historical FS'!H62/'Historical FS'!H96,0)</f>
        <v>1.7404967667855199E-3</v>
      </c>
      <c r="I28" s="309">
        <f>IFERROR('Historical FS'!I62/'Historical FS'!I96,0)</f>
        <v>1.0646529045835783E-3</v>
      </c>
      <c r="J28" s="309">
        <f>IFERROR('Historical FS'!J62/'Historical FS'!J96,0)</f>
        <v>1.2206163441869824E-3</v>
      </c>
      <c r="K28" s="309">
        <f>IFERROR('Historical FS'!K62/'Historical FS'!K96,0)</f>
        <v>1.2103051888502634E-3</v>
      </c>
      <c r="L28" s="309">
        <f>IFERROR('Historical FS'!L62/'Historical FS'!L96,0)</f>
        <v>1.3582107836609906E-3</v>
      </c>
      <c r="M28" s="769">
        <f ca="1">IFERROR('The 3-Statement Projection'!D42/'The 3-Statement Projection'!D$72,0)</f>
        <v>0.29574665793964228</v>
      </c>
      <c r="N28" s="769">
        <f ca="1">IFERROR('The 3-Statement Projection'!E42/'The 3-Statement Projection'!E$72,0)</f>
        <v>0.28447273274051904</v>
      </c>
      <c r="O28" s="769">
        <f ca="1">IFERROR('The 3-Statement Projection'!F42/'The 3-Statement Projection'!F$72,0)</f>
        <v>0.24706181590806728</v>
      </c>
      <c r="P28" s="769">
        <f ca="1">IFERROR('The 3-Statement Projection'!G42/'The 3-Statement Projection'!G$72,0)</f>
        <v>0.20891285702728651</v>
      </c>
      <c r="Q28" s="769">
        <f ca="1">IFERROR('The 3-Statement Projection'!H42/'The 3-Statement Projection'!H$72,0)</f>
        <v>0.17400627708642125</v>
      </c>
      <c r="R28" s="769">
        <f ca="1">IFERROR('The 3-Statement Projection'!I42/'The 3-Statement Projection'!I$72,0)</f>
        <v>0.14190803191606238</v>
      </c>
      <c r="S28" s="769">
        <f ca="1">IFERROR('The 3-Statement Projection'!J42/'The 3-Statement Projection'!J$72,0)</f>
        <v>0.11230523348800539</v>
      </c>
      <c r="T28" s="769">
        <f ca="1">IFERROR('The 3-Statement Projection'!K42/'The 3-Statement Projection'!K$72,0)</f>
        <v>8.4932481625079395E-2</v>
      </c>
    </row>
    <row r="29" spans="1:20" ht="14.25" customHeight="1" x14ac:dyDescent="0.3">
      <c r="A29" s="36"/>
      <c r="B29" s="162" t="str">
        <f>'Historical FS'!B63</f>
        <v>Total Non-Current Liabilities</v>
      </c>
      <c r="C29" s="308">
        <f>IFERROR('Historical FS'!C63/'Historical FS'!C96,0)</f>
        <v>5.718767360543773E-4</v>
      </c>
      <c r="D29" s="308">
        <f>IFERROR('Historical FS'!D63/'Historical FS'!D96,0)</f>
        <v>0.51307186112656256</v>
      </c>
      <c r="E29" s="308">
        <f>IFERROR('Historical FS'!E63/'Historical FS'!E96,0)</f>
        <v>0.62301881028750017</v>
      </c>
      <c r="F29" s="308">
        <f>IFERROR('Historical FS'!F63/'Historical FS'!F96,0)</f>
        <v>0.53121520737867267</v>
      </c>
      <c r="G29" s="308">
        <f>IFERROR('Historical FS'!G63/'Historical FS'!G96,0)</f>
        <v>0.52820406973920642</v>
      </c>
      <c r="H29" s="308">
        <f>IFERROR('Historical FS'!H63/'Historical FS'!H96,0)</f>
        <v>0.53461050341451621</v>
      </c>
      <c r="I29" s="308">
        <f>IFERROR('Historical FS'!I63/'Historical FS'!I96,0)</f>
        <v>0.35162638110860078</v>
      </c>
      <c r="J29" s="308">
        <f>IFERROR('Historical FS'!J63/'Historical FS'!J96,0)</f>
        <v>0.26286174172562959</v>
      </c>
      <c r="K29" s="308">
        <f>IFERROR('Historical FS'!K63/'Historical FS'!K96,0)</f>
        <v>0.19923649470024951</v>
      </c>
      <c r="L29" s="308">
        <f>IFERROR('Historical FS'!L63/'Historical FS'!L96,0)</f>
        <v>0.18910022530320061</v>
      </c>
      <c r="M29" s="769">
        <f ca="1">IFERROR(('The 3-Statement Projection'!D45+'The 3-Statement Projection'!D46)/'The 3-Statement Projection'!D$72,0)</f>
        <v>0.10565039879587787</v>
      </c>
      <c r="N29" s="769">
        <f ca="1">IFERROR(('The 3-Statement Projection'!E45+'The 3-Statement Projection'!E46)/'The 3-Statement Projection'!E$72,0)</f>
        <v>1.3300611895763224E-2</v>
      </c>
      <c r="O29" s="769">
        <f ca="1">IFERROR(('The 3-Statement Projection'!F45+'The 3-Statement Projection'!F46)/'The 3-Statement Projection'!F$72,0)</f>
        <v>6.6419491259086786E-18</v>
      </c>
      <c r="P29" s="769">
        <f ca="1">IFERROR(('The 3-Statement Projection'!G45+'The 3-Statement Projection'!G46)/'The 3-Statement Projection'!G$72,0)</f>
        <v>6.3056452186759047E-18</v>
      </c>
      <c r="Q29" s="769">
        <f ca="1">IFERROR(('The 3-Statement Projection'!H45+'The 3-Statement Projection'!H46)/'The 3-Statement Projection'!H$72,0)</f>
        <v>5.9976699527785706E-18</v>
      </c>
      <c r="R29" s="769">
        <f ca="1">IFERROR(('The 3-Statement Projection'!I45+'The 3-Statement Projection'!I46)/'The 3-Statement Projection'!I$72,0)</f>
        <v>5.7166633100854301E-18</v>
      </c>
      <c r="S29" s="769">
        <f ca="1">IFERROR(('The 3-Statement Projection'!J45+'The 3-Statement Projection'!J46)/'The 3-Statement Projection'!J$72,0)</f>
        <v>5.4590736530338953E-18</v>
      </c>
      <c r="T29" s="769">
        <f ca="1">IFERROR(('The 3-Statement Projection'!K45+'The 3-Statement Projection'!K46)/'The 3-Statement Projection'!K$72,0)</f>
        <v>5.2219820260181995E-18</v>
      </c>
    </row>
    <row r="30" spans="1:20" ht="14.25" customHeight="1" x14ac:dyDescent="0.3">
      <c r="A30" s="36"/>
      <c r="B30" s="36" t="str">
        <f>'Historical FS'!B67</f>
        <v>Short-term Borrowings</v>
      </c>
      <c r="C30" s="309">
        <f>IFERROR('Historical FS'!C67/'Historical FS'!C96,0)</f>
        <v>6.5520734616515801E-3</v>
      </c>
      <c r="D30" s="309">
        <f>IFERROR('Historical FS'!D67/'Historical FS'!D96,0)</f>
        <v>8.5830333434787631E-2</v>
      </c>
      <c r="E30" s="309">
        <f>IFERROR('Historical FS'!E67/'Historical FS'!E96,0)</f>
        <v>0</v>
      </c>
      <c r="F30" s="309">
        <f>IFERROR('Historical FS'!F67/'Historical FS'!F96,0)</f>
        <v>0</v>
      </c>
      <c r="G30" s="309">
        <f>IFERROR('Historical FS'!G67/'Historical FS'!G96,0)</f>
        <v>0</v>
      </c>
      <c r="H30" s="309">
        <f>IFERROR('Historical FS'!H67/'Historical FS'!H96,0)</f>
        <v>0</v>
      </c>
      <c r="I30" s="309">
        <f>IFERROR('Historical FS'!I67/'Historical FS'!I96,0)</f>
        <v>2.6492525765219274E-3</v>
      </c>
      <c r="J30" s="309">
        <f>IFERROR('Historical FS'!J67/'Historical FS'!J96,0)</f>
        <v>2.2567989001039537E-2</v>
      </c>
      <c r="K30" s="309">
        <f>IFERROR('Historical FS'!K67/'Historical FS'!K96,0)</f>
        <v>4.3187101452366229E-4</v>
      </c>
      <c r="L30" s="309">
        <f>IFERROR('Historical FS'!L67/'Historical FS'!L96,0)</f>
        <v>5.8056853105509017E-2</v>
      </c>
      <c r="M30" s="769">
        <f ca="1">IFERROR('The 3-Statement Projection'!D47/'The 3-Statement Projection'!D$72,0)</f>
        <v>0.10216376413494281</v>
      </c>
      <c r="N30" s="769">
        <f ca="1">IFERROR('The 3-Statement Projection'!E47/'The 3-Statement Projection'!E$72,0)</f>
        <v>0.11367884189261761</v>
      </c>
      <c r="O30" s="769">
        <f ca="1">IFERROR('The 3-Statement Projection'!F47/'The 3-Statement Projection'!F$72,0)</f>
        <v>0.10896245252119953</v>
      </c>
      <c r="P30" s="769">
        <f ca="1">IFERROR('The 3-Statement Projection'!G47/'The 3-Statement Projection'!G$72,0)</f>
        <v>0.1031825143064076</v>
      </c>
      <c r="Q30" s="769">
        <f ca="1">IFERROR('The 3-Statement Projection'!H47/'The 3-Statement Projection'!H$72,0)</f>
        <v>9.8142956707233914E-2</v>
      </c>
      <c r="R30" s="769">
        <f ca="1">IFERROR('The 3-Statement Projection'!I47/'The 3-Statement Projection'!I$72,0)</f>
        <v>9.3544700553525179E-2</v>
      </c>
      <c r="S30" s="769">
        <f ca="1">IFERROR('The 3-Statement Projection'!J47/'The 3-Statement Projection'!J$72,0)</f>
        <v>8.9329628574026182E-2</v>
      </c>
      <c r="T30" s="769">
        <f ca="1">IFERROR('The 3-Statement Projection'!K47/'The 3-Statement Projection'!K$72,0)</f>
        <v>8.5449976397589028E-2</v>
      </c>
    </row>
    <row r="31" spans="1:20" ht="14.25" customHeight="1" x14ac:dyDescent="0.3">
      <c r="A31" s="36"/>
      <c r="B31" s="36" t="str">
        <f>'Historical FS'!B68</f>
        <v>Trade Payables &amp; Acceptances</v>
      </c>
      <c r="C31" s="309">
        <f>IFERROR('Historical FS'!C68/'Historical FS'!C96,0)</f>
        <v>0.21638181758766056</v>
      </c>
      <c r="D31" s="309">
        <f>IFERROR('Historical FS'!D68/'Historical FS'!D96,0)</f>
        <v>0.24822367523430694</v>
      </c>
      <c r="E31" s="309">
        <f>IFERROR('Historical FS'!E68/'Historical FS'!E96,0)</f>
        <v>5.845170537990671E-2</v>
      </c>
      <c r="F31" s="309">
        <f>IFERROR('Historical FS'!F68/'Historical FS'!F96,0)</f>
        <v>7.6365042718014225E-2</v>
      </c>
      <c r="G31" s="309">
        <f>IFERROR('Historical FS'!G68/'Historical FS'!G96,0)</f>
        <v>9.2224758389587672E-2</v>
      </c>
      <c r="H31" s="309">
        <f>IFERROR('Historical FS'!H68/'Historical FS'!H96,0)</f>
        <v>1.3065812533994078E-2</v>
      </c>
      <c r="I31" s="309">
        <f>IFERROR('Historical FS'!I68/'Historical FS'!I96,0)</f>
        <v>0.22130543777660855</v>
      </c>
      <c r="J31" s="309">
        <f>IFERROR('Historical FS'!J68/'Historical FS'!J96,0)</f>
        <v>0.20031521411086148</v>
      </c>
      <c r="K31" s="309">
        <f>IFERROR('Historical FS'!K68/'Historical FS'!K96,0)</f>
        <v>0.3306105909701636</v>
      </c>
      <c r="L31" s="309">
        <f>IFERROR('Historical FS'!L68/'Historical FS'!L96,0)</f>
        <v>0.19661033198932609</v>
      </c>
      <c r="M31" s="769">
        <f ca="1">IFERROR('The 3-Statement Projection'!D48/'The 3-Statement Projection'!D$72,0)</f>
        <v>5.1994175909060462E-2</v>
      </c>
      <c r="N31" s="769">
        <f ca="1">IFERROR('The 3-Statement Projection'!E48/'The 3-Statement Projection'!E$72,0)</f>
        <v>5.3558725815591499E-2</v>
      </c>
      <c r="O31" s="769">
        <f ca="1">IFERROR('The 3-Statement Projection'!F48/'The 3-Statement Projection'!F$72,0)</f>
        <v>5.1467066241703247E-2</v>
      </c>
      <c r="P31" s="769">
        <f ca="1">IFERROR('The 3-Statement Projection'!G48/'The 3-Statement Projection'!G$72,0)</f>
        <v>4.8861118026385528E-2</v>
      </c>
      <c r="Q31" s="769">
        <f ca="1">IFERROR('The 3-Statement Projection'!H48/'The 3-Statement Projection'!H$72,0)</f>
        <v>4.6474682492136273E-2</v>
      </c>
      <c r="R31" s="769">
        <f ca="1">IFERROR('The 3-Statement Projection'!I48/'The 3-Statement Projection'!I$72,0)</f>
        <v>4.4297221144618364E-2</v>
      </c>
      <c r="S31" s="769">
        <f ca="1">IFERROR('The 3-Statement Projection'!J48/'The 3-Statement Projection'!J$72,0)</f>
        <v>4.2301213091660683E-2</v>
      </c>
      <c r="T31" s="769">
        <f ca="1">IFERROR('The 3-Statement Projection'!K48/'The 3-Statement Projection'!K$72,0)</f>
        <v>4.0464039960452662E-2</v>
      </c>
    </row>
    <row r="32" spans="1:20" ht="14.25" customHeight="1" x14ac:dyDescent="0.3">
      <c r="A32" s="36"/>
      <c r="B32" s="36" t="str">
        <f>'Historical FS'!B69</f>
        <v>Other Current Liabilities</v>
      </c>
      <c r="C32" s="309">
        <f>IFERROR('Historical FS'!C69/'Historical FS'!C96,0)</f>
        <v>0.63664586124636457</v>
      </c>
      <c r="D32" s="309">
        <f>IFERROR('Historical FS'!D69/'Historical FS'!D96,0)</f>
        <v>1.3727815619063626E-2</v>
      </c>
      <c r="E32" s="309">
        <f>IFERROR('Historical FS'!E69/'Historical FS'!E96,0)</f>
        <v>2.2769729653519432E-2</v>
      </c>
      <c r="F32" s="309">
        <f>IFERROR('Historical FS'!F69/'Historical FS'!F96,0)</f>
        <v>5.0370925967161632E-2</v>
      </c>
      <c r="G32" s="309">
        <f>IFERROR('Historical FS'!G69/'Historical FS'!G96,0)</f>
        <v>3.9556116750036438E-2</v>
      </c>
      <c r="H32" s="309">
        <f>IFERROR('Historical FS'!H69/'Historical FS'!H96,0)</f>
        <v>4.3935456578231696E-2</v>
      </c>
      <c r="I32" s="309">
        <f>IFERROR('Historical FS'!I69/'Historical FS'!I96,0)</f>
        <v>6.7481662591687058E-2</v>
      </c>
      <c r="J32" s="309">
        <f>IFERROR('Historical FS'!J69/'Historical FS'!J96,0)</f>
        <v>1.6914255055162489E-2</v>
      </c>
      <c r="K32" s="309">
        <f>IFERROR('Historical FS'!K69/'Historical FS'!K96,0)</f>
        <v>2.1305636716500691E-2</v>
      </c>
      <c r="L32" s="309">
        <f>IFERROR('Historical FS'!L69/'Historical FS'!L96,0)</f>
        <v>0.1314055617400012</v>
      </c>
      <c r="M32" s="769">
        <f ca="1">IFERROR('The 3-Statement Projection'!D49/'The 3-Statement Projection'!D$72,0)</f>
        <v>0.25980833883988114</v>
      </c>
      <c r="N32" s="769">
        <f ca="1">IFERROR('The 3-Statement Projection'!E49/'The 3-Statement Projection'!E$72,0)</f>
        <v>0.18053817960397234</v>
      </c>
      <c r="O32" s="769">
        <f ca="1">IFERROR('The 3-Statement Projection'!F49/'The 3-Statement Projection'!F$72,0)</f>
        <v>0.16042951876290276</v>
      </c>
      <c r="P32" s="769">
        <f ca="1">IFERROR('The 3-Statement Projection'!G49/'The 3-Statement Projection'!G$72,0)</f>
        <v>0.15204363233279314</v>
      </c>
      <c r="Q32" s="769">
        <f ca="1">IFERROR('The 3-Statement Projection'!H49/'The 3-Statement Projection'!H$72,0)</f>
        <v>0.14461763919937021</v>
      </c>
      <c r="R32" s="769">
        <f ca="1">IFERROR('The 3-Statement Projection'!I49/'The 3-Statement Projection'!I$72,0)</f>
        <v>0.13784192169814355</v>
      </c>
      <c r="S32" s="769">
        <f ca="1">IFERROR('The 3-Statement Projection'!J49/'The 3-Statement Projection'!J$72,0)</f>
        <v>0.13163084166568687</v>
      </c>
      <c r="T32" s="769">
        <f ca="1">IFERROR('The 3-Statement Projection'!K49/'The 3-Statement Projection'!K$72,0)</f>
        <v>0.1259140163580417</v>
      </c>
    </row>
    <row r="33" spans="1:20" ht="14.25" customHeight="1" x14ac:dyDescent="0.3">
      <c r="A33" s="36"/>
      <c r="B33" s="162" t="str">
        <f>'Historical FS'!B70</f>
        <v>Total Current Liabilities</v>
      </c>
      <c r="C33" s="184">
        <f>IFERROR('Historical FS'!C70/'Historical FS'!C96,0)</f>
        <v>0.85957975229567674</v>
      </c>
      <c r="D33" s="184">
        <f>IFERROR('Historical FS'!D70/'Historical FS'!D96,0)</f>
        <v>0.34778182428815824</v>
      </c>
      <c r="E33" s="184">
        <f>IFERROR('Historical FS'!E70/'Historical FS'!E96,0)</f>
        <v>8.1221435033426145E-2</v>
      </c>
      <c r="F33" s="184">
        <f>IFERROR('Historical FS'!F70/'Historical FS'!F96,0)</f>
        <v>0.12673596868517586</v>
      </c>
      <c r="G33" s="184">
        <f>IFERROR('Historical FS'!G70/'Historical FS'!G96,0)</f>
        <v>0.13178087513962411</v>
      </c>
      <c r="H33" s="184">
        <f>IFERROR('Historical FS'!H70/'Historical FS'!H96,0)</f>
        <v>5.7001269112225778E-2</v>
      </c>
      <c r="I33" s="184">
        <f>IFERROR('Historical FS'!I70/'Historical FS'!I96,0)</f>
        <v>0.29143635294481751</v>
      </c>
      <c r="J33" s="184">
        <f>IFERROR('Historical FS'!J70/'Historical FS'!J96,0)</f>
        <v>0.23979745816706349</v>
      </c>
      <c r="K33" s="184">
        <f>IFERROR('Historical FS'!K70/'Historical FS'!K96,0)</f>
        <v>0.35234809870118794</v>
      </c>
      <c r="L33" s="184">
        <f>IFERROR('Historical FS'!L70/'Historical FS'!L96,0)</f>
        <v>0.38607274683483628</v>
      </c>
      <c r="M33" s="769">
        <f ca="1">IFERROR('The 3-Statement Projection'!D51/'The 3-Statement Projection'!D$72,0)</f>
        <v>0.55555499677952336</v>
      </c>
      <c r="N33" s="769">
        <f ca="1">IFERROR('The 3-Statement Projection'!E51/'The 3-Statement Projection'!E$72,0)</f>
        <v>0.46501091234449143</v>
      </c>
      <c r="O33" s="769">
        <f ca="1">IFERROR('The 3-Statement Projection'!F51/'The 3-Statement Projection'!F$72,0)</f>
        <v>0.40749133467097004</v>
      </c>
      <c r="P33" s="769">
        <f ca="1">IFERROR('The 3-Statement Projection'!G51/'The 3-Statement Projection'!G$72,0)</f>
        <v>0.36095648936007962</v>
      </c>
      <c r="Q33" s="769">
        <f ca="1">IFERROR('The 3-Statement Projection'!H51/'The 3-Statement Projection'!H$72,0)</f>
        <v>0.31862391628579145</v>
      </c>
      <c r="R33" s="769">
        <f ca="1">IFERROR('The 3-Statement Projection'!I51/'The 3-Statement Projection'!I$72,0)</f>
        <v>0.2797499536142059</v>
      </c>
      <c r="S33" s="769">
        <f ca="1">IFERROR('The 3-Statement Projection'!J51/'The 3-Statement Projection'!J$72,0)</f>
        <v>0.24393607515369228</v>
      </c>
      <c r="T33" s="769">
        <f ca="1">IFERROR('The 3-Statement Projection'!K51/'The 3-Statement Projection'!K$72,0)</f>
        <v>0.21084649798312111</v>
      </c>
    </row>
    <row r="34" spans="1:20" ht="14.25" customHeight="1" x14ac:dyDescent="0.3">
      <c r="A34" s="36"/>
      <c r="B34" s="162" t="str">
        <f>'Historical FS'!B72</f>
        <v xml:space="preserve">Total Liabilities </v>
      </c>
      <c r="C34" s="317">
        <f>IFERROR('Historical FS'!C72/'Historical FS'!C96,0)</f>
        <v>0.86015162903173115</v>
      </c>
      <c r="D34" s="317">
        <f>IFERROR('Historical FS'!D72/'Historical FS'!D96,0)</f>
        <v>0.86085368541472074</v>
      </c>
      <c r="E34" s="317">
        <f>IFERROR('Historical FS'!E72/'Historical FS'!E96,0)</f>
        <v>0.70424024532092633</v>
      </c>
      <c r="F34" s="317">
        <f>IFERROR('Historical FS'!F72/'Historical FS'!F96,0)</f>
        <v>0.65795117606384856</v>
      </c>
      <c r="G34" s="317">
        <f>IFERROR('Historical FS'!G72/'Historical FS'!G96,0)</f>
        <v>0.65998494487883064</v>
      </c>
      <c r="H34" s="317">
        <f>IFERROR('Historical FS'!H72/'Historical FS'!H96,0)</f>
        <v>0.59161177252674202</v>
      </c>
      <c r="I34" s="317">
        <f>IFERROR('Historical FS'!I72/'Historical FS'!I96,0)</f>
        <v>0.64306273405341829</v>
      </c>
      <c r="J34" s="317">
        <f>IFERROR('Historical FS'!J72/'Historical FS'!J96,0)</f>
        <v>0.50265919989269314</v>
      </c>
      <c r="K34" s="317">
        <f>IFERROR('Historical FS'!K72/'Historical FS'!K96,0)</f>
        <v>0.5515845934014374</v>
      </c>
      <c r="L34" s="317">
        <f>IFERROR('Historical FS'!L72/'Historical FS'!L96,0)</f>
        <v>0.57517297213803698</v>
      </c>
      <c r="M34" s="769">
        <f ca="1">IFERROR('The 3-Statement Projection'!D52/'The 3-Statement Projection'!D$72,0)</f>
        <v>1</v>
      </c>
      <c r="N34" s="769">
        <f ca="1">IFERROR('The 3-Statement Projection'!E52/'The 3-Statement Projection'!E$72,0)</f>
        <v>1</v>
      </c>
      <c r="O34" s="769">
        <f ca="1">IFERROR('The 3-Statement Projection'!F52/'The 3-Statement Projection'!F$72,0)</f>
        <v>1</v>
      </c>
      <c r="P34" s="769">
        <f ca="1">IFERROR('The 3-Statement Projection'!G52/'The 3-Statement Projection'!G$72,0)</f>
        <v>1</v>
      </c>
      <c r="Q34" s="769">
        <f ca="1">IFERROR('The 3-Statement Projection'!H52/'The 3-Statement Projection'!H$72,0)</f>
        <v>1</v>
      </c>
      <c r="R34" s="769">
        <f ca="1">IFERROR('The 3-Statement Projection'!I52/'The 3-Statement Projection'!I$72,0)</f>
        <v>0.99999999999999989</v>
      </c>
      <c r="S34" s="769">
        <f ca="1">IFERROR('The 3-Statement Projection'!J52/'The 3-Statement Projection'!J$72,0)</f>
        <v>1</v>
      </c>
      <c r="T34" s="769">
        <f ca="1">IFERROR('The 3-Statement Projection'!K52/'The 3-Statement Projection'!K$72,0)</f>
        <v>1.0000000000000002</v>
      </c>
    </row>
    <row r="35" spans="1:20" ht="15" customHeight="1" x14ac:dyDescent="0.3">
      <c r="A35" s="36"/>
      <c r="B35" s="311" t="str">
        <f>'Historical FS'!B74</f>
        <v>Total Equity + Liabilities</v>
      </c>
      <c r="C35" s="318">
        <f>IFERROR('Historical FS'!C74/'Historical FS'!C96,0)</f>
        <v>1</v>
      </c>
      <c r="D35" s="318">
        <f>IFERROR('Historical FS'!D74/'Historical FS'!D96,0)</f>
        <v>1.0000000000000002</v>
      </c>
      <c r="E35" s="318">
        <f>IFERROR('Historical FS'!E74/'Historical FS'!E96,0)</f>
        <v>1</v>
      </c>
      <c r="F35" s="318">
        <f>IFERROR('Historical FS'!F74/'Historical FS'!F96,0)</f>
        <v>1.0000000000000002</v>
      </c>
      <c r="G35" s="318">
        <f>IFERROR('Historical FS'!G74/'Historical FS'!G96,0)</f>
        <v>0.99999999999999989</v>
      </c>
      <c r="H35" s="318">
        <f>IFERROR('Historical FS'!H74/'Historical FS'!H96,0)</f>
        <v>1</v>
      </c>
      <c r="I35" s="318">
        <f>IFERROR('Historical FS'!I74/'Historical FS'!I96,0)</f>
        <v>0.99999999999999989</v>
      </c>
      <c r="J35" s="318">
        <f>IFERROR('Historical FS'!J74/'Historical FS'!J96,0)</f>
        <v>1</v>
      </c>
      <c r="K35" s="318">
        <f>IFERROR('Historical FS'!K74/'Historical FS'!K96,0)</f>
        <v>1</v>
      </c>
      <c r="L35" s="318">
        <f>IFERROR('Historical FS'!L74/'Historical FS'!L96,0)</f>
        <v>1.0000000000000002</v>
      </c>
    </row>
    <row r="36" spans="1:20" ht="15" customHeight="1" x14ac:dyDescent="0.3">
      <c r="A36" s="36"/>
      <c r="B36" s="36"/>
      <c r="C36" s="36"/>
      <c r="D36" s="36"/>
      <c r="E36" s="36"/>
      <c r="F36" s="36"/>
      <c r="G36" s="36"/>
      <c r="H36" s="36"/>
      <c r="I36" s="36"/>
      <c r="J36" s="36"/>
      <c r="K36" s="36"/>
      <c r="L36" s="36"/>
    </row>
    <row r="37" spans="1:20" ht="14.25" customHeight="1" x14ac:dyDescent="0.3">
      <c r="A37" s="36"/>
      <c r="B37" s="319" t="s">
        <v>292</v>
      </c>
      <c r="C37" s="207"/>
      <c r="D37" s="207"/>
      <c r="E37" s="207"/>
      <c r="F37" s="207"/>
      <c r="G37" s="207"/>
      <c r="H37" s="207"/>
      <c r="I37" s="207"/>
      <c r="J37" s="207"/>
      <c r="K37" s="207"/>
      <c r="L37" s="207"/>
    </row>
    <row r="38" spans="1:20" ht="14.25" customHeight="1" x14ac:dyDescent="0.3">
      <c r="A38" s="36"/>
      <c r="B38" s="36" t="str">
        <f>'Historical FS'!B80</f>
        <v>Net Fixed Assets</v>
      </c>
      <c r="C38" s="309">
        <f>IFERROR('Historical FS'!C80/'Historical FS'!C96,0)</f>
        <v>0.75110290513381917</v>
      </c>
      <c r="D38" s="309">
        <f>IFERROR('Historical FS'!D80/'Historical FS'!D96,0)</f>
        <v>0.45486508327998237</v>
      </c>
      <c r="E38" s="309">
        <f>IFERROR('Historical FS'!E80/'Historical FS'!E96,0)</f>
        <v>0.59247118536533783</v>
      </c>
      <c r="F38" s="309">
        <f>IFERROR('Historical FS'!F80/'Historical FS'!F96,0)</f>
        <v>0.57083924197499036</v>
      </c>
      <c r="G38" s="309">
        <f>IFERROR('Historical FS'!G80/'Historical FS'!G96,0)</f>
        <v>0.60765625758826669</v>
      </c>
      <c r="H38" s="309">
        <f>IFERROR('Historical FS'!H80/'Historical FS'!H96,0)</f>
        <v>0.59712334562156277</v>
      </c>
      <c r="I38" s="309">
        <f>IFERROR('Historical FS'!I80/'Historical FS'!I96,0)</f>
        <v>0.30528303054687256</v>
      </c>
      <c r="J38" s="309">
        <f>IFERROR('Historical FS'!J80/'Historical FS'!J96,0)</f>
        <v>0.31753462325207066</v>
      </c>
      <c r="K38" s="309">
        <f>IFERROR('Historical FS'!K80/'Historical FS'!K96,0)</f>
        <v>0.24579858815500438</v>
      </c>
      <c r="L38" s="309">
        <f>IFERROR('Historical FS'!L80/'Historical FS'!L96,0)</f>
        <v>0.41941016367771522</v>
      </c>
      <c r="M38" s="769">
        <f ca="1">IFERROR('The 3-Statement Projection'!D57/'The 3-Statement Projection'!D$72,0)</f>
        <v>0.54813529060745358</v>
      </c>
      <c r="N38" s="769">
        <f ca="1">IFERROR('The 3-Statement Projection'!E57/'The 3-Statement Projection'!E$72,0)</f>
        <v>0.55058701018490874</v>
      </c>
      <c r="O38" s="769">
        <f ca="1">IFERROR('The 3-Statement Projection'!F57/'The 3-Statement Projection'!F$72,0)</f>
        <v>0.51520642227768854</v>
      </c>
      <c r="P38" s="769">
        <f ca="1">IFERROR('The 3-Statement Projection'!G57/'The 3-Statement Projection'!G$72,0)</f>
        <v>0.4755702081007922</v>
      </c>
      <c r="Q38" s="769">
        <f ca="1">IFERROR('The 3-Statement Projection'!H57/'The 3-Statement Projection'!H$72,0)</f>
        <v>0.43909023392832708</v>
      </c>
      <c r="R38" s="769">
        <f ca="1">IFERROR('The 3-Statement Projection'!I57/'The 3-Statement Projection'!I$72,0)</f>
        <v>0.40552972875899462</v>
      </c>
      <c r="S38" s="769">
        <f ca="1">IFERROR('The 3-Statement Projection'!J57/'The 3-Statement Projection'!J$72,0)</f>
        <v>0.37450526272024881</v>
      </c>
      <c r="T38" s="769">
        <f ca="1">IFERROR('The 3-Statement Projection'!K57/'The 3-Statement Projection'!K$72,0)</f>
        <v>0.34570053004066625</v>
      </c>
    </row>
    <row r="39" spans="1:20" ht="14.25" customHeight="1" x14ac:dyDescent="0.3">
      <c r="A39" s="36"/>
      <c r="B39" s="36" t="str">
        <f>'Historical FS'!B81</f>
        <v>Capital Work-in-Progress</v>
      </c>
      <c r="C39" s="309">
        <f>IFERROR('Historical FS'!C81/'Historical FS'!C96,0)</f>
        <v>1.0963693996928205E-2</v>
      </c>
      <c r="D39" s="309">
        <f>IFERROR('Historical FS'!D81/'Historical FS'!D96,0)</f>
        <v>3.1800673796454695E-3</v>
      </c>
      <c r="E39" s="309">
        <f>IFERROR('Historical FS'!E81/'Historical FS'!E96,0)</f>
        <v>0</v>
      </c>
      <c r="F39" s="309">
        <f>IFERROR('Historical FS'!F81/'Historical FS'!F96,0)</f>
        <v>1.9513166992862749E-2</v>
      </c>
      <c r="G39" s="309">
        <f>IFERROR('Historical FS'!G81/'Historical FS'!G96,0)</f>
        <v>8.3774464571900341E-4</v>
      </c>
      <c r="H39" s="309">
        <f>IFERROR('Historical FS'!H81/'Historical FS'!H96,0)</f>
        <v>2.054753127455128E-4</v>
      </c>
      <c r="I39" s="309">
        <f>IFERROR('Historical FS'!I81/'Historical FS'!I96,0)</f>
        <v>1.0027544798984866E-3</v>
      </c>
      <c r="J39" s="309">
        <f>IFERROR('Historical FS'!J81/'Historical FS'!J96,0)</f>
        <v>0.10663626303611549</v>
      </c>
      <c r="K39" s="309">
        <f>IFERROR('Historical FS'!K81/'Historical FS'!K96,0)</f>
        <v>0.23088570880163792</v>
      </c>
      <c r="L39" s="309">
        <f>IFERROR('Historical FS'!L81/'Historical FS'!L96,0)</f>
        <v>9.5122691707457394E-2</v>
      </c>
      <c r="M39" s="769">
        <f ca="1">IFERROR('The 3-Statement Projection'!D58/'The 3-Statement Projection'!D$72,0)</f>
        <v>0</v>
      </c>
      <c r="N39" s="769">
        <f ca="1">IFERROR('The 3-Statement Projection'!E58/'The 3-Statement Projection'!E$72,0)</f>
        <v>0</v>
      </c>
      <c r="O39" s="769">
        <f ca="1">IFERROR('The 3-Statement Projection'!F58/'The 3-Statement Projection'!F$72,0)</f>
        <v>0</v>
      </c>
      <c r="P39" s="769">
        <f ca="1">IFERROR('The 3-Statement Projection'!G58/'The 3-Statement Projection'!G$72,0)</f>
        <v>0</v>
      </c>
      <c r="Q39" s="769">
        <f ca="1">IFERROR('The 3-Statement Projection'!H58/'The 3-Statement Projection'!H$72,0)</f>
        <v>0</v>
      </c>
      <c r="R39" s="769">
        <f ca="1">IFERROR('The 3-Statement Projection'!I58/'The 3-Statement Projection'!I$72,0)</f>
        <v>0</v>
      </c>
      <c r="S39" s="769">
        <f ca="1">IFERROR('The 3-Statement Projection'!J58/'The 3-Statement Projection'!J$72,0)</f>
        <v>0</v>
      </c>
      <c r="T39" s="769">
        <f ca="1">IFERROR('The 3-Statement Projection'!K58/'The 3-Statement Projection'!K$72,0)</f>
        <v>0</v>
      </c>
    </row>
    <row r="40" spans="1:20" ht="14.25" customHeight="1" x14ac:dyDescent="0.3">
      <c r="A40" s="36"/>
      <c r="B40" s="36" t="str">
        <f>'Historical FS'!B82</f>
        <v>Long-term Investments</v>
      </c>
      <c r="C40" s="309">
        <f>IFERROR('Historical FS'!C82/'Historical FS'!C96,0)</f>
        <v>0</v>
      </c>
      <c r="D40" s="309">
        <f>IFERROR('Historical FS'!D82/'Historical FS'!D96,0)</f>
        <v>5.2476359400090265E-5</v>
      </c>
      <c r="E40" s="309">
        <f>IFERROR('Historical FS'!E82/'Historical FS'!E96,0)</f>
        <v>7.0494519051143774E-5</v>
      </c>
      <c r="F40" s="309">
        <f>IFERROR('Historical FS'!F82/'Historical FS'!F96,0)</f>
        <v>3.5158859446599552E-5</v>
      </c>
      <c r="G40" s="309">
        <f>IFERROR('Historical FS'!G82/'Historical FS'!G96,0)</f>
        <v>2.4282453499101552E-5</v>
      </c>
      <c r="H40" s="309">
        <f>IFERROR('Historical FS'!H82/'Historical FS'!H96,0)</f>
        <v>6.0433915513386112E-5</v>
      </c>
      <c r="I40" s="309">
        <f>IFERROR('Historical FS'!I82/'Historical FS'!I96,0)</f>
        <v>8.6657794559128474E-5</v>
      </c>
      <c r="J40" s="309">
        <f>IFERROR('Historical FS'!J82/'Historical FS'!J96,0)</f>
        <v>1.676670802454646E-4</v>
      </c>
      <c r="K40" s="309">
        <f>IFERROR('Historical FS'!K82/'Historical FS'!K96,0)</f>
        <v>2.8258226876239632E-4</v>
      </c>
      <c r="L40" s="309">
        <f>IFERROR('Historical FS'!L82/'Historical FS'!L96,0)</f>
        <v>2.3968425594017483E-4</v>
      </c>
      <c r="M40" s="769">
        <f ca="1">IFERROR('The 3-Statement Projection'!D59/'The 3-Statement Projection'!D$72,0)</f>
        <v>2.6151088810860858E-4</v>
      </c>
      <c r="N40" s="769">
        <f ca="1">IFERROR('The 3-Statement Projection'!E59/'The 3-Statement Projection'!E$72,0)</f>
        <v>2.6937997783632698E-4</v>
      </c>
      <c r="O40" s="769">
        <f ca="1">IFERROR('The 3-Statement Projection'!F59/'The 3-Statement Projection'!F$72,0)</f>
        <v>2.5885972738087028E-4</v>
      </c>
      <c r="P40" s="769">
        <f ca="1">IFERROR('The 3-Statement Projection'!G59/'The 3-Statement Projection'!G$72,0)</f>
        <v>2.4575280107157134E-4</v>
      </c>
      <c r="Q40" s="769">
        <f ca="1">IFERROR('The 3-Statement Projection'!H59/'The 3-Statement Projection'!H$72,0)</f>
        <v>2.3374993988444531E-4</v>
      </c>
      <c r="R40" s="769">
        <f ca="1">IFERROR('The 3-Statement Projection'!I59/'The 3-Statement Projection'!I$72,0)</f>
        <v>2.2279813920954807E-4</v>
      </c>
      <c r="S40" s="769">
        <f ca="1">IFERROR('The 3-Statement Projection'!J59/'The 3-Statement Projection'!J$72,0)</f>
        <v>2.1275897944838837E-4</v>
      </c>
      <c r="T40" s="769">
        <f ca="1">IFERROR('The 3-Statement Projection'!K59/'The 3-Statement Projection'!K$72,0)</f>
        <v>2.0351869880634512E-4</v>
      </c>
    </row>
    <row r="41" spans="1:20" ht="14.25" customHeight="1" x14ac:dyDescent="0.3">
      <c r="A41" s="36"/>
      <c r="B41" s="36" t="str">
        <f>'Historical FS'!B83</f>
        <v>Long-term Loans &amp; Advances</v>
      </c>
      <c r="C41" s="309">
        <f>IFERROR('Historical FS'!C83/'Historical FS'!C96,0)</f>
        <v>0</v>
      </c>
      <c r="D41" s="309">
        <f>IFERROR('Historical FS'!D83/'Historical FS'!D96,0)</f>
        <v>8.1338357070139915E-3</v>
      </c>
      <c r="E41" s="309">
        <f>IFERROR('Historical FS'!E83/'Historical FS'!E96,0)</f>
        <v>0</v>
      </c>
      <c r="F41" s="309">
        <f>IFERROR('Historical FS'!F83/'Historical FS'!F96,0)</f>
        <v>0</v>
      </c>
      <c r="G41" s="309">
        <f>IFERROR('Historical FS'!G83/'Historical FS'!G96,0)</f>
        <v>0</v>
      </c>
      <c r="H41" s="309">
        <f>IFERROR('Historical FS'!H83/'Historical FS'!H96,0)</f>
        <v>0</v>
      </c>
      <c r="I41" s="309">
        <f>IFERROR('Historical FS'!I83/'Historical FS'!I96,0)</f>
        <v>7.3696264430070255E-2</v>
      </c>
      <c r="J41" s="309">
        <f>IFERROR('Historical FS'!J83/'Historical FS'!J96,0)</f>
        <v>0.30125079641863117</v>
      </c>
      <c r="K41" s="309">
        <f>IFERROR('Historical FS'!K83/'Historical FS'!K96,0)</f>
        <v>0.14311992151677366</v>
      </c>
      <c r="L41" s="309">
        <f>IFERROR('Historical FS'!L83/'Historical FS'!L96,0)</f>
        <v>1.4993581788257602E-2</v>
      </c>
      <c r="M41" s="769">
        <f ca="1">IFERROR('The 3-Statement Projection'!D60/'The 3-Statement Projection'!D$72,0)</f>
        <v>8.7170296036202854E-2</v>
      </c>
      <c r="N41" s="769">
        <f ca="1">IFERROR('The 3-Statement Projection'!E60/'The 3-Statement Projection'!E$72,0)</f>
        <v>8.9793325945442329E-2</v>
      </c>
      <c r="O41" s="769">
        <f ca="1">IFERROR('The 3-Statement Projection'!F60/'The 3-Statement Projection'!F$72,0)</f>
        <v>0</v>
      </c>
      <c r="P41" s="769">
        <f ca="1">IFERROR('The 3-Statement Projection'!G60/'The 3-Statement Projection'!G$72,0)</f>
        <v>0</v>
      </c>
      <c r="Q41" s="769">
        <f ca="1">IFERROR('The 3-Statement Projection'!H60/'The 3-Statement Projection'!H$72,0)</f>
        <v>0</v>
      </c>
      <c r="R41" s="769">
        <f ca="1">IFERROR('The 3-Statement Projection'!I60/'The 3-Statement Projection'!I$72,0)</f>
        <v>0</v>
      </c>
      <c r="S41" s="769">
        <f ca="1">IFERROR('The 3-Statement Projection'!J60/'The 3-Statement Projection'!J$72,0)</f>
        <v>0</v>
      </c>
      <c r="T41" s="769">
        <f ca="1">IFERROR('The 3-Statement Projection'!K60/'The 3-Statement Projection'!K$72,0)</f>
        <v>0</v>
      </c>
    </row>
    <row r="42" spans="1:20" ht="14.25" customHeight="1" x14ac:dyDescent="0.3">
      <c r="A42" s="36"/>
      <c r="B42" s="36" t="str">
        <f>'Historical FS'!B84</f>
        <v>Other Long-term Assets (incl. DTA)</v>
      </c>
      <c r="C42" s="309">
        <f>IFERROR('Historical FS'!C84/'Historical FS'!C96,0)</f>
        <v>2.7744191366295221E-2</v>
      </c>
      <c r="D42" s="309">
        <f>IFERROR('Historical FS'!D84/'Historical FS'!D96,0)</f>
        <v>0.12775894459545975</v>
      </c>
      <c r="E42" s="309">
        <f>IFERROR('Historical FS'!E84/'Historical FS'!E96,0)</f>
        <v>0.13664187609413367</v>
      </c>
      <c r="F42" s="309">
        <f>IFERROR('Historical FS'!F84/'Historical FS'!F96,0)</f>
        <v>0.13177540520585512</v>
      </c>
      <c r="G42" s="309">
        <f>IFERROR('Historical FS'!G84/'Historical FS'!G96,0)</f>
        <v>0.13275217327958819</v>
      </c>
      <c r="H42" s="309">
        <f>IFERROR('Historical FS'!H84/'Historical FS'!H96,0)</f>
        <v>0.12721339215567776</v>
      </c>
      <c r="I42" s="309">
        <f>IFERROR('Historical FS'!I84/'Historical FS'!I96,0)</f>
        <v>3.8562718578812167E-3</v>
      </c>
      <c r="J42" s="309">
        <f>IFERROR('Historical FS'!J84/'Historical FS'!J96,0)</f>
        <v>1.5827772375171859E-3</v>
      </c>
      <c r="K42" s="309">
        <f>IFERROR('Historical FS'!K84/'Historical FS'!K96,0)</f>
        <v>6.6646761500565167E-4</v>
      </c>
      <c r="L42" s="309">
        <f>IFERROR('Historical FS'!L84/'Historical FS'!L96,0)</f>
        <v>7.8286204306859772E-2</v>
      </c>
      <c r="M42" s="769">
        <f ca="1">IFERROR('The 3-Statement Projection'!D61/'The 3-Statement Projection'!D$72,0)</f>
        <v>7.0886884736640163E-2</v>
      </c>
      <c r="N42" s="769">
        <f ca="1">IFERROR('The 3-Statement Projection'!E61/'The 3-Statement Projection'!E$72,0)</f>
        <v>5.8054378334593308E-2</v>
      </c>
      <c r="O42" s="769">
        <f ca="1">IFERROR('The 3-Statement Projection'!F61/'The 3-Statement Projection'!F$72,0)</f>
        <v>4.1406051504166749E-2</v>
      </c>
      <c r="P42" s="769">
        <f ca="1">IFERROR('The 3-Statement Projection'!G61/'The 3-Statement Projection'!G$72,0)</f>
        <v>2.565659243187204E-2</v>
      </c>
      <c r="Q42" s="769">
        <f ca="1">IFERROR('The 3-Statement Projection'!H61/'The 3-Statement Projection'!H$72,0)</f>
        <v>1.1417385952578012E-2</v>
      </c>
      <c r="R42" s="769">
        <f ca="1">IFERROR('The 3-Statement Projection'!I61/'The 3-Statement Projection'!I$72,0)</f>
        <v>0</v>
      </c>
      <c r="S42" s="769">
        <f ca="1">IFERROR('The 3-Statement Projection'!J61/'The 3-Statement Projection'!J$72,0)</f>
        <v>0</v>
      </c>
      <c r="T42" s="769">
        <f ca="1">IFERROR('The 3-Statement Projection'!K61/'The 3-Statement Projection'!K$72,0)</f>
        <v>0</v>
      </c>
    </row>
    <row r="43" spans="1:20" ht="14.25" customHeight="1" x14ac:dyDescent="0.3">
      <c r="A43" s="36"/>
      <c r="B43" s="162" t="str">
        <f>'Historical FS'!B85</f>
        <v>Total Non-Current Assets</v>
      </c>
      <c r="C43" s="308">
        <f>IFERROR('Historical FS'!C85/'Historical FS'!C96,0)</f>
        <v>0.78981079049704261</v>
      </c>
      <c r="D43" s="308">
        <f>IFERROR('Historical FS'!D85/'Historical FS'!D96,0)</f>
        <v>0.59399040732150166</v>
      </c>
      <c r="E43" s="308">
        <f>IFERROR('Historical FS'!E85/'Historical FS'!E96,0)</f>
        <v>0.72918355597852269</v>
      </c>
      <c r="F43" s="308">
        <f>IFERROR('Historical FS'!F85/'Historical FS'!F96,0)</f>
        <v>0.72216297303315469</v>
      </c>
      <c r="G43" s="308">
        <f>IFERROR('Historical FS'!G85/'Historical FS'!G96,0)</f>
        <v>0.74127045796707292</v>
      </c>
      <c r="H43" s="308">
        <f>IFERROR('Historical FS'!H85/'Historical FS'!H96,0)</f>
        <v>0.72460264700549948</v>
      </c>
      <c r="I43" s="308">
        <f>IFERROR('Historical FS'!I85/'Historical FS'!I96,0)</f>
        <v>0.38392497910928164</v>
      </c>
      <c r="J43" s="308">
        <f>IFERROR('Historical FS'!J85/'Historical FS'!J96,0)</f>
        <v>0.72717212702458001</v>
      </c>
      <c r="K43" s="308">
        <f>IFERROR('Historical FS'!K85/'Historical FS'!K96,0)</f>
        <v>0.62075326835718403</v>
      </c>
      <c r="L43" s="308">
        <f>IFERROR('Historical FS'!L85/'Historical FS'!L96,0)</f>
        <v>0.60805232573623014</v>
      </c>
      <c r="M43" s="769">
        <f ca="1">IFERROR('The 3-Statement Projection'!D62/'The 3-Statement Projection'!D$72,0)</f>
        <v>0.70645398226840539</v>
      </c>
      <c r="N43" s="769">
        <f ca="1">IFERROR('The 3-Statement Projection'!E62/'The 3-Statement Projection'!E$72,0)</f>
        <v>0.6987040944427807</v>
      </c>
      <c r="O43" s="769">
        <f ca="1">IFERROR('The 3-Statement Projection'!F62/'The 3-Statement Projection'!F$72,0)</f>
        <v>0.55687133350923623</v>
      </c>
      <c r="P43" s="769">
        <f ca="1">IFERROR('The 3-Statement Projection'!G62/'The 3-Statement Projection'!G$72,0)</f>
        <v>0.50147255333373586</v>
      </c>
      <c r="Q43" s="769">
        <f ca="1">IFERROR('The 3-Statement Projection'!H62/'The 3-Statement Projection'!H$72,0)</f>
        <v>0.45074136982078955</v>
      </c>
      <c r="R43" s="769">
        <f ca="1">IFERROR('The 3-Statement Projection'!I62/'The 3-Statement Projection'!I$72,0)</f>
        <v>0.40575252689820418</v>
      </c>
      <c r="S43" s="769">
        <f ca="1">IFERROR('The 3-Statement Projection'!J62/'The 3-Statement Projection'!J$72,0)</f>
        <v>0.3747180216996972</v>
      </c>
      <c r="T43" s="769">
        <f ca="1">IFERROR('The 3-Statement Projection'!K62/'The 3-Statement Projection'!K$72,0)</f>
        <v>0.34590404873947261</v>
      </c>
    </row>
    <row r="44" spans="1:20" ht="14.25" customHeight="1" x14ac:dyDescent="0.3">
      <c r="A44" s="36"/>
      <c r="B44" s="36" t="str">
        <f>'Historical FS'!B89</f>
        <v>Inventories</v>
      </c>
      <c r="C44" s="309">
        <f>IFERROR('Historical FS'!C89/'Historical FS'!C96,0)</f>
        <v>0.17107284075683801</v>
      </c>
      <c r="D44" s="309">
        <f>IFERROR('Historical FS'!D89/'Historical FS'!D96,0)</f>
        <v>0.16427199546604257</v>
      </c>
      <c r="E44" s="309">
        <f>IFERROR('Historical FS'!E89/'Historical FS'!E96,0)</f>
        <v>6.4361495893694262E-2</v>
      </c>
      <c r="F44" s="309">
        <f>IFERROR('Historical FS'!F89/'Historical FS'!F96,0)</f>
        <v>0.16457862106953253</v>
      </c>
      <c r="G44" s="309">
        <f>IFERROR('Historical FS'!G89/'Historical FS'!G96,0)</f>
        <v>0.16605555825360596</v>
      </c>
      <c r="H44" s="309">
        <f>IFERROR('Historical FS'!H89/'Historical FS'!H96,0)</f>
        <v>0.12068652928023206</v>
      </c>
      <c r="I44" s="309">
        <f>IFERROR('Historical FS'!I89/'Historical FS'!I96,0)</f>
        <v>0.3734517656525641</v>
      </c>
      <c r="J44" s="309">
        <f>IFERROR('Historical FS'!J89/'Historical FS'!J96,0)</f>
        <v>0.19056369672378526</v>
      </c>
      <c r="K44" s="309">
        <f>IFERROR('Historical FS'!K89/'Historical FS'!K96,0)</f>
        <v>0.18128985476337733</v>
      </c>
      <c r="L44" s="309">
        <f>IFERROR('Historical FS'!L89/'Historical FS'!L96,0)</f>
        <v>0.17118782190927154</v>
      </c>
      <c r="M44" s="769">
        <f ca="1">IFERROR('The 3-Statement Projection'!D65/'The 3-Statement Projection'!D$72,0)</f>
        <v>0.10982604644506354</v>
      </c>
      <c r="N44" s="769">
        <f ca="1">IFERROR('The 3-Statement Projection'!E65/'The 3-Statement Projection'!E$72,0)</f>
        <v>0.11652081293993305</v>
      </c>
      <c r="O44" s="769">
        <f ca="1">IFERROR('The 3-Statement Projection'!F65/'The 3-Statement Projection'!F$72,0)</f>
        <v>0.10896245252119953</v>
      </c>
      <c r="P44" s="769">
        <f ca="1">IFERROR('The 3-Statement Projection'!G65/'The 3-Statement Projection'!G$72,0)</f>
        <v>0.1031825143064076</v>
      </c>
      <c r="Q44" s="769">
        <f ca="1">IFERROR('The 3-Statement Projection'!H65/'The 3-Statement Projection'!H$72,0)</f>
        <v>9.8142956707233914E-2</v>
      </c>
      <c r="R44" s="769">
        <f ca="1">IFERROR('The 3-Statement Projection'!I65/'The 3-Statement Projection'!I$72,0)</f>
        <v>9.3544700553525179E-2</v>
      </c>
      <c r="S44" s="769">
        <f ca="1">IFERROR('The 3-Statement Projection'!J65/'The 3-Statement Projection'!J$72,0)</f>
        <v>8.9329628574026182E-2</v>
      </c>
      <c r="T44" s="769">
        <f ca="1">IFERROR('The 3-Statement Projection'!K65/'The 3-Statement Projection'!K$72,0)</f>
        <v>8.5449976397589028E-2</v>
      </c>
    </row>
    <row r="45" spans="1:20" ht="14.25" customHeight="1" x14ac:dyDescent="0.3">
      <c r="A45" s="36"/>
      <c r="B45" s="36" t="str">
        <f>'Historical FS'!B90</f>
        <v>Trade Receivables</v>
      </c>
      <c r="C45" s="309">
        <f>IFERROR('Historical FS'!C90/'Historical FS'!C96,0)</f>
        <v>2.9721250939511782E-2</v>
      </c>
      <c r="D45" s="309">
        <f>IFERROR('Historical FS'!D90/'Historical FS'!D96,0)</f>
        <v>2.8295252988528672E-2</v>
      </c>
      <c r="E45" s="309">
        <f>IFERROR('Historical FS'!E90/'Historical FS'!E96,0)</f>
        <v>4.0299366724237187E-2</v>
      </c>
      <c r="F45" s="309">
        <f>IFERROR('Historical FS'!F90/'Historical FS'!F96,0)</f>
        <v>1.5153468421484406E-2</v>
      </c>
      <c r="G45" s="309">
        <f>IFERROR('Historical FS'!G90/'Historical FS'!G96,0)</f>
        <v>1.0441455004613666E-2</v>
      </c>
      <c r="H45" s="309">
        <f>IFERROR('Historical FS'!H90/'Historical FS'!H96,0)</f>
        <v>5.7811083580105151E-2</v>
      </c>
      <c r="I45" s="309">
        <f>IFERROR('Historical FS'!I90/'Historical FS'!I96,0)</f>
        <v>6.7388814954659398E-2</v>
      </c>
      <c r="J45" s="309">
        <f>IFERROR('Historical FS'!J90/'Historical FS'!J96,0)</f>
        <v>2.5190302136078604E-2</v>
      </c>
      <c r="K45" s="309">
        <f>IFERROR('Historical FS'!K90/'Historical FS'!K96,0)</f>
        <v>4.0990424193307597E-2</v>
      </c>
      <c r="L45" s="309">
        <f>IFERROR('Historical FS'!L90/'Historical FS'!L96,0)</f>
        <v>6.0789253623227006E-2</v>
      </c>
      <c r="M45" s="769">
        <f ca="1">IFERROR('The 3-Statement Projection'!D66/'The 3-Statement Projection'!D$72,0)</f>
        <v>0.1126571041450232</v>
      </c>
      <c r="N45" s="769">
        <f ca="1">IFERROR('The 3-Statement Projection'!E66/'The 3-Statement Projection'!E$72,0)</f>
        <v>0.11883087404295334</v>
      </c>
      <c r="O45" s="769">
        <f ca="1">IFERROR('The 3-Statement Projection'!F66/'The 3-Statement Projection'!F$72,0)</f>
        <v>0.11072979772653814</v>
      </c>
      <c r="P45" s="769">
        <f ca="1">IFERROR('The 3-Statement Projection'!G66/'The 3-Statement Projection'!G$72,0)</f>
        <v>0.10183808151259802</v>
      </c>
      <c r="Q45" s="769">
        <f ca="1">IFERROR('The 3-Statement Projection'!H66/'The 3-Statement Projection'!H$72,0)</f>
        <v>9.6864187621545486E-2</v>
      </c>
      <c r="R45" s="769">
        <f ca="1">IFERROR('The 3-Statement Projection'!I66/'The 3-Statement Projection'!I$72,0)</f>
        <v>9.232584516938723E-2</v>
      </c>
      <c r="S45" s="769">
        <f ca="1">IFERROR('The 3-Statement Projection'!J66/'The 3-Statement Projection'!J$72,0)</f>
        <v>8.8165694132991815E-2</v>
      </c>
      <c r="T45" s="769">
        <f ca="1">IFERROR('The 3-Statement Projection'!K66/'The 3-Statement Projection'!K$72,0)</f>
        <v>8.4336592494595325E-2</v>
      </c>
    </row>
    <row r="46" spans="1:20" ht="14.25" customHeight="1" x14ac:dyDescent="0.3">
      <c r="A46" s="36"/>
      <c r="B46" s="36" t="str">
        <f>'Historical FS'!B91</f>
        <v>Cash &amp; Bank Balance</v>
      </c>
      <c r="C46" s="309">
        <f>IFERROR('Historical FS'!C91/'Historical FS'!C96,0)</f>
        <v>6.5357341263357408E-5</v>
      </c>
      <c r="D46" s="309">
        <f>IFERROR('Historical FS'!D91/'Historical FS'!D96,0)</f>
        <v>1.24998688091015E-2</v>
      </c>
      <c r="E46" s="309">
        <f>IFERROR('Historical FS'!E91/'Historical FS'!E96,0)</f>
        <v>5.4691997697179043E-2</v>
      </c>
      <c r="F46" s="309">
        <f>IFERROR('Historical FS'!F91/'Historical FS'!F96,0)</f>
        <v>2.9521722315328094E-2</v>
      </c>
      <c r="G46" s="309">
        <f>IFERROR('Historical FS'!G91/'Historical FS'!G96,0)</f>
        <v>2.2971201010150068E-2</v>
      </c>
      <c r="H46" s="309">
        <f>IFERROR('Historical FS'!H91/'Historical FS'!H96,0)</f>
        <v>5.8645071614189886E-2</v>
      </c>
      <c r="I46" s="309">
        <f>IFERROR('Historical FS'!I91/'Historical FS'!I96,0)</f>
        <v>0.15362570022592922</v>
      </c>
      <c r="J46" s="309">
        <f>IFERROR('Historical FS'!J91/'Historical FS'!J96,0)</f>
        <v>7.4712450957379033E-3</v>
      </c>
      <c r="K46" s="309">
        <f>IFERROR('Historical FS'!K91/'Historical FS'!K96,0)</f>
        <v>3.9881422081938192E-2</v>
      </c>
      <c r="L46" s="309">
        <f>IFERROR('Historical FS'!L91/'Historical FS'!L96,0)</f>
        <v>0.11194852647445766</v>
      </c>
      <c r="M46" s="769">
        <f ca="1">IFERROR('The 3-Statement Projection'!D67/'The 3-Statement Projection'!D$72,0)</f>
        <v>1.8667707870681005E-2</v>
      </c>
      <c r="N46" s="769">
        <f ca="1">IFERROR('The 3-Statement Projection'!E67/'The 3-Statement Projection'!E$72,0)</f>
        <v>1.197244345939231E-2</v>
      </c>
      <c r="O46" s="769">
        <f ca="1">IFERROR('The 3-Statement Projection'!F67/'The 3-Statement Projection'!F$72,0)</f>
        <v>0.17157243175267234</v>
      </c>
      <c r="P46" s="769">
        <f ca="1">IFERROR('The 3-Statement Projection'!G67/'The 3-Statement Projection'!G$72,0)</f>
        <v>0.24426891185922997</v>
      </c>
      <c r="Q46" s="769">
        <f ca="1">IFERROR('The 3-Statement Projection'!H67/'The 3-Statement Projection'!H$72,0)</f>
        <v>0.30741838678380534</v>
      </c>
      <c r="R46" s="769">
        <f ca="1">IFERROR('The 3-Statement Projection'!I67/'The 3-Statement Projection'!I$72,0)</f>
        <v>0.36373808242081035</v>
      </c>
      <c r="S46" s="769">
        <f ca="1">IFERROR('The 3-Statement Projection'!J67/'The 3-Statement Projection'!J$72,0)</f>
        <v>0.40515921206646988</v>
      </c>
      <c r="T46" s="769">
        <f ca="1">IFERROR('The 3-Statement Projection'!K67/'The 3-Statement Projection'!K$72,0)</f>
        <v>0.44353328040305406</v>
      </c>
    </row>
    <row r="47" spans="1:20" ht="14.25" customHeight="1" x14ac:dyDescent="0.3">
      <c r="A47" s="36"/>
      <c r="B47" s="36" t="str">
        <f>'Historical FS'!B92</f>
        <v>Other Current Assets</v>
      </c>
      <c r="C47" s="309">
        <f>IFERROR('Historical FS'!C92/'Historical FS'!C96,0)</f>
        <v>0</v>
      </c>
      <c r="D47" s="309">
        <f>IFERROR('Historical FS'!D92/'Historical FS'!D96,0)</f>
        <v>0.16792435008028883</v>
      </c>
      <c r="E47" s="309">
        <f>IFERROR('Historical FS'!E92/'Historical FS'!E96,0)</f>
        <v>1.1749086508523962E-5</v>
      </c>
      <c r="F47" s="309">
        <f>IFERROR('Historical FS'!F92/'Historical FS'!F96,0)</f>
        <v>7.0317718893199104E-5</v>
      </c>
      <c r="G47" s="309">
        <f>IFERROR('Historical FS'!G92/'Historical FS'!G96,0)</f>
        <v>8.9845077946675727E-4</v>
      </c>
      <c r="H47" s="309">
        <f>IFERROR('Historical FS'!H92/'Historical FS'!H96,0)</f>
        <v>2.2723152233033177E-3</v>
      </c>
      <c r="I47" s="309">
        <f>IFERROR('Historical FS'!I92/'Historical FS'!I96,0)</f>
        <v>5.5708582216582579E-5</v>
      </c>
      <c r="J47" s="309">
        <f>IFERROR('Historical FS'!J92/'Historical FS'!J96,0)</f>
        <v>4.0977834411991551E-3</v>
      </c>
      <c r="K47" s="309">
        <f>IFERROR('Historical FS'!K92/'Historical FS'!K96,0)</f>
        <v>1.5179466399368721E-2</v>
      </c>
      <c r="L47" s="309">
        <f>IFERROR('Historical FS'!L92/'Historical FS'!L96,0)</f>
        <v>0</v>
      </c>
      <c r="M47" s="769">
        <f ca="1">IFERROR('The 3-Statement Projection'!D68/'The 3-Statement Projection'!D$72,0)</f>
        <v>0</v>
      </c>
      <c r="N47" s="769">
        <f ca="1">IFERROR('The 3-Statement Projection'!E68/'The 3-Statement Projection'!E$72,0)</f>
        <v>0</v>
      </c>
      <c r="O47" s="769">
        <f ca="1">IFERROR('The 3-Statement Projection'!F68/'The 3-Statement Projection'!F$72,0)</f>
        <v>0</v>
      </c>
      <c r="P47" s="769">
        <f ca="1">IFERROR('The 3-Statement Projection'!G68/'The 3-Statement Projection'!G$72,0)</f>
        <v>0</v>
      </c>
      <c r="Q47" s="769">
        <f ca="1">IFERROR('The 3-Statement Projection'!H68/'The 3-Statement Projection'!H$72,0)</f>
        <v>0</v>
      </c>
      <c r="R47" s="769">
        <f ca="1">IFERROR('The 3-Statement Projection'!I68/'The 3-Statement Projection'!I$72,0)</f>
        <v>0</v>
      </c>
      <c r="S47" s="769">
        <f ca="1">IFERROR('The 3-Statement Projection'!J68/'The 3-Statement Projection'!J$72,0)</f>
        <v>0</v>
      </c>
      <c r="T47" s="769">
        <f ca="1">IFERROR('The 3-Statement Projection'!K68/'The 3-Statement Projection'!K$72,0)</f>
        <v>0</v>
      </c>
    </row>
    <row r="48" spans="1:20" ht="14.25" customHeight="1" x14ac:dyDescent="0.3">
      <c r="A48" s="36"/>
      <c r="B48" s="36" t="str">
        <f>'Historical FS'!B93</f>
        <v>ST Loans, Advances &amp; Investments</v>
      </c>
      <c r="C48" s="309">
        <f>IFERROR('Historical FS'!C93/'Historical FS'!C96,0)</f>
        <v>9.3297604653442695E-3</v>
      </c>
      <c r="D48" s="309">
        <f>IFERROR('Historical FS'!D93/'Historical FS'!D96,0)</f>
        <v>3.3018125334536796E-2</v>
      </c>
      <c r="E48" s="309">
        <f>IFERROR('Historical FS'!E93/'Historical FS'!E96,0)</f>
        <v>0.1114518346198583</v>
      </c>
      <c r="F48" s="309">
        <f>IFERROR('Historical FS'!F93/'Historical FS'!F96,0)</f>
        <v>6.851289744160699E-2</v>
      </c>
      <c r="G48" s="309">
        <f>IFERROR('Historical FS'!G93/'Historical FS'!G96,0)</f>
        <v>5.8362876985090573E-2</v>
      </c>
      <c r="H48" s="309">
        <f>IFERROR('Historical FS'!H93/'Historical FS'!H96,0)</f>
        <v>3.5982353296670093E-2</v>
      </c>
      <c r="I48" s="309">
        <f>IFERROR('Historical FS'!I93/'Historical FS'!I96,0)</f>
        <v>2.1553031475348951E-2</v>
      </c>
      <c r="J48" s="309">
        <f>IFERROR('Historical FS'!J93/'Historical FS'!J96,0)</f>
        <v>4.5504845578619092E-2</v>
      </c>
      <c r="K48" s="309">
        <f>IFERROR('Historical FS'!K93/'Historical FS'!K96,0)</f>
        <v>0.10190556420482416</v>
      </c>
      <c r="L48" s="309">
        <f>IFERROR('Historical FS'!L93/'Historical FS'!L96,0)</f>
        <v>4.8022072256813694E-2</v>
      </c>
      <c r="M48" s="769">
        <f ca="1">IFERROR('The 3-Statement Projection'!D69/'The 3-Statement Projection'!D$72,0)</f>
        <v>5.2395159270826996E-2</v>
      </c>
      <c r="N48" s="769">
        <f ca="1">IFERROR('The 3-Statement Projection'!E69/'The 3-Statement Projection'!E$72,0)</f>
        <v>5.3971775114940536E-2</v>
      </c>
      <c r="O48" s="769">
        <f ca="1">IFERROR('The 3-Statement Projection'!F69/'The 3-Statement Projection'!F$72,0)</f>
        <v>5.1863984490353912E-2</v>
      </c>
      <c r="P48" s="769">
        <f ca="1">IFERROR('The 3-Statement Projection'!G69/'The 3-Statement Projection'!G$72,0)</f>
        <v>4.9237938988028598E-2</v>
      </c>
      <c r="Q48" s="769">
        <f ca="1">IFERROR('The 3-Statement Projection'!H69/'The 3-Statement Projection'!H$72,0)</f>
        <v>4.683309906662575E-2</v>
      </c>
      <c r="R48" s="769">
        <f ca="1">IFERROR('The 3-Statement Projection'!I69/'The 3-Statement Projection'!I$72,0)</f>
        <v>4.4638844958073E-2</v>
      </c>
      <c r="S48" s="769">
        <f ca="1">IFERROR('The 3-Statement Projection'!J69/'The 3-Statement Projection'!J$72,0)</f>
        <v>4.2627443526814877E-2</v>
      </c>
      <c r="T48" s="769">
        <f ca="1">IFERROR('The 3-Statement Projection'!K69/'The 3-Statement Projection'!K$72,0)</f>
        <v>4.0776101965289052E-2</v>
      </c>
    </row>
    <row r="49" spans="1:20" ht="14.25" customHeight="1" x14ac:dyDescent="0.3">
      <c r="A49" s="36"/>
      <c r="B49" s="162" t="str">
        <f>'Historical FS'!B94</f>
        <v>Total Current Assets</v>
      </c>
      <c r="C49" s="184">
        <f>IFERROR('Historical FS'!C94/'Historical FS'!C96,0)</f>
        <v>0.21018920950295744</v>
      </c>
      <c r="D49" s="184">
        <f>IFERROR('Historical FS'!D94/'Historical FS'!D96,0)</f>
        <v>0.40600959267849834</v>
      </c>
      <c r="E49" s="184">
        <f>IFERROR('Historical FS'!E94/'Historical FS'!E96,0)</f>
        <v>0.27081644402147731</v>
      </c>
      <c r="F49" s="184">
        <f>IFERROR('Historical FS'!F94/'Historical FS'!F96,0)</f>
        <v>0.2778370269668452</v>
      </c>
      <c r="G49" s="184">
        <f>IFERROR('Historical FS'!G94/'Historical FS'!G96,0)</f>
        <v>0.25872954203292703</v>
      </c>
      <c r="H49" s="184">
        <f>IFERROR('Historical FS'!H94/'Historical FS'!H96,0)</f>
        <v>0.27539735299450052</v>
      </c>
      <c r="I49" s="184">
        <f>IFERROR('Historical FS'!I94/'Historical FS'!I96,0)</f>
        <v>0.61607502089071842</v>
      </c>
      <c r="J49" s="184">
        <f>IFERROR('Historical FS'!J94/'Historical FS'!J96,0)</f>
        <v>0.27282787297541999</v>
      </c>
      <c r="K49" s="184">
        <f>IFERROR('Historical FS'!K94/'Historical FS'!K96,0)</f>
        <v>0.37924673164281603</v>
      </c>
      <c r="L49" s="184">
        <f>IFERROR('Historical FS'!L94/'Historical FS'!L96,0)</f>
        <v>0.39194767426376992</v>
      </c>
      <c r="M49" s="769">
        <f ca="1">IFERROR('The 3-Statement Projection'!D70/'The 3-Statement Projection'!D$72,0)</f>
        <v>0.29354601773159472</v>
      </c>
      <c r="N49" s="769">
        <f ca="1">IFERROR('The 3-Statement Projection'!E70/'The 3-Statement Projection'!E$72,0)</f>
        <v>0.30129590555721919</v>
      </c>
      <c r="O49" s="769">
        <f ca="1">IFERROR('The 3-Statement Projection'!F70/'The 3-Statement Projection'!F$72,0)</f>
        <v>0.44312866649076388</v>
      </c>
      <c r="P49" s="769">
        <f ca="1">IFERROR('The 3-Statement Projection'!G70/'The 3-Statement Projection'!G$72,0)</f>
        <v>0.49852744666626414</v>
      </c>
      <c r="Q49" s="769">
        <f ca="1">IFERROR('The 3-Statement Projection'!H70/'The 3-Statement Projection'!H$72,0)</f>
        <v>0.54925863017921051</v>
      </c>
      <c r="R49" s="769">
        <f ca="1">IFERROR('The 3-Statement Projection'!I70/'The 3-Statement Projection'!I$72,0)</f>
        <v>0.59424747310179582</v>
      </c>
      <c r="S49" s="769">
        <f ca="1">IFERROR('The 3-Statement Projection'!J70/'The 3-Statement Projection'!J$72,0)</f>
        <v>0.62528197830030285</v>
      </c>
      <c r="T49" s="769">
        <f ca="1">IFERROR('The 3-Statement Projection'!K70/'The 3-Statement Projection'!K$72,0)</f>
        <v>0.65409595126052744</v>
      </c>
    </row>
    <row r="50" spans="1:20" ht="15" customHeight="1" x14ac:dyDescent="0.3">
      <c r="A50" s="36"/>
      <c r="B50" s="311" t="str">
        <f>'Historical FS'!B96</f>
        <v>Total Assets</v>
      </c>
      <c r="C50" s="318">
        <f>IFERROR('Historical FS'!C96/'Historical FS'!C96,0)</f>
        <v>1</v>
      </c>
      <c r="D50" s="318">
        <f>IFERROR('Historical FS'!D96/'Historical FS'!D96,0)</f>
        <v>1</v>
      </c>
      <c r="E50" s="318">
        <f>IFERROR('Historical FS'!E96/'Historical FS'!E96,0)</f>
        <v>1</v>
      </c>
      <c r="F50" s="318">
        <f>IFERROR('Historical FS'!F96/'Historical FS'!F96,0)</f>
        <v>1</v>
      </c>
      <c r="G50" s="318">
        <f>IFERROR('Historical FS'!G96/'Historical FS'!G96,0)</f>
        <v>1</v>
      </c>
      <c r="H50" s="318">
        <f>IFERROR('Historical FS'!H96/'Historical FS'!H96,0)</f>
        <v>1</v>
      </c>
      <c r="I50" s="318">
        <f>IFERROR('Historical FS'!I96/'Historical FS'!I96,0)</f>
        <v>1</v>
      </c>
      <c r="J50" s="318">
        <f>IFERROR('Historical FS'!J96/'Historical FS'!J96,0)</f>
        <v>1</v>
      </c>
      <c r="K50" s="318">
        <f>IFERROR('Historical FS'!K96/'Historical FS'!K96,0)</f>
        <v>1</v>
      </c>
      <c r="L50" s="318">
        <f>IFERROR('Historical FS'!L96/'Historical FS'!L96,0)</f>
        <v>1</v>
      </c>
      <c r="M50" s="769">
        <f ca="1">IFERROR('The 3-Statement Projection'!D72/'The 3-Statement Projection'!D$72,0)</f>
        <v>1</v>
      </c>
      <c r="N50" s="769">
        <f ca="1">IFERROR('The 3-Statement Projection'!E72/'The 3-Statement Projection'!E$72,0)</f>
        <v>1</v>
      </c>
      <c r="O50" s="769">
        <f ca="1">IFERROR('The 3-Statement Projection'!F72/'The 3-Statement Projection'!F$72,0)</f>
        <v>1</v>
      </c>
      <c r="P50" s="769">
        <f ca="1">IFERROR('The 3-Statement Projection'!G72/'The 3-Statement Projection'!G$72,0)</f>
        <v>1</v>
      </c>
      <c r="Q50" s="769">
        <f ca="1">IFERROR('The 3-Statement Projection'!H72/'The 3-Statement Projection'!H$72,0)</f>
        <v>1</v>
      </c>
      <c r="R50" s="769">
        <f ca="1">IFERROR('The 3-Statement Projection'!I72/'The 3-Statement Projection'!I$72,0)</f>
        <v>1</v>
      </c>
      <c r="S50" s="769">
        <f ca="1">IFERROR('The 3-Statement Projection'!J72/'The 3-Statement Projection'!J$72,0)</f>
        <v>1</v>
      </c>
      <c r="T50" s="769">
        <f ca="1">IFERROR('The 3-Statement Projection'!K72/'The 3-Statement Projection'!K$72,0)</f>
        <v>1</v>
      </c>
    </row>
    <row r="51" spans="1:20" ht="15" customHeight="1" x14ac:dyDescent="0.3">
      <c r="A51" s="36"/>
      <c r="B51" s="36"/>
      <c r="C51" s="36"/>
      <c r="D51" s="36"/>
      <c r="E51" s="36"/>
      <c r="F51" s="36"/>
      <c r="G51" s="36"/>
      <c r="H51" s="36"/>
      <c r="I51" s="36"/>
      <c r="J51" s="36"/>
      <c r="K51" s="36"/>
      <c r="L51" s="36"/>
    </row>
    <row r="52" spans="1:20" ht="14.25" customHeight="1" x14ac:dyDescent="0.3">
      <c r="A52" s="162" t="s">
        <v>2</v>
      </c>
      <c r="B52" s="313" t="s">
        <v>461</v>
      </c>
      <c r="C52" s="314"/>
      <c r="D52" s="314"/>
      <c r="E52" s="314"/>
      <c r="F52" s="314"/>
      <c r="G52" s="314"/>
      <c r="H52" s="314"/>
      <c r="I52" s="314"/>
      <c r="J52" s="314"/>
      <c r="K52" s="314"/>
      <c r="L52" s="314"/>
    </row>
    <row r="53" spans="1:20" ht="14.25" customHeight="1" x14ac:dyDescent="0.3">
      <c r="A53" s="36"/>
      <c r="B53" s="36"/>
      <c r="C53" s="36"/>
      <c r="D53" s="36"/>
      <c r="E53" s="36"/>
      <c r="F53" s="36"/>
      <c r="G53" s="36"/>
      <c r="H53" s="36"/>
      <c r="I53" s="36"/>
      <c r="J53" s="36"/>
      <c r="K53" s="36"/>
      <c r="L53" s="36"/>
    </row>
    <row r="54" spans="1:20" ht="14.25" customHeight="1" x14ac:dyDescent="0.3">
      <c r="A54" s="36"/>
      <c r="B54" s="320" t="s">
        <v>462</v>
      </c>
      <c r="C54" s="36"/>
      <c r="D54" s="36"/>
      <c r="E54" s="36"/>
      <c r="F54" s="36"/>
      <c r="G54" s="36"/>
      <c r="H54" s="36"/>
      <c r="I54" s="36"/>
      <c r="J54" s="36"/>
      <c r="K54" s="36"/>
      <c r="L54" s="36"/>
    </row>
    <row r="55" spans="1:20" ht="60" customHeight="1" x14ac:dyDescent="0.3">
      <c r="A55" s="36"/>
      <c r="B55" s="321" t="s">
        <v>463</v>
      </c>
      <c r="C55" s="900" t="s">
        <v>464</v>
      </c>
      <c r="D55" s="900"/>
      <c r="E55" s="900"/>
      <c r="F55" s="900"/>
      <c r="G55" s="900"/>
      <c r="H55" s="900"/>
      <c r="I55" s="900"/>
      <c r="J55" s="900"/>
      <c r="K55" s="900"/>
      <c r="L55" s="36"/>
    </row>
    <row r="56" spans="1:20" ht="14.25" customHeight="1" x14ac:dyDescent="0.3">
      <c r="A56" s="36"/>
      <c r="B56" s="252"/>
      <c r="C56" s="252"/>
      <c r="D56" s="252"/>
      <c r="E56" s="252"/>
      <c r="F56" s="252"/>
      <c r="G56" s="252"/>
      <c r="H56" s="252"/>
      <c r="I56" s="252"/>
      <c r="J56" s="252"/>
      <c r="K56" s="252"/>
      <c r="L56" s="252"/>
    </row>
    <row r="57" spans="1:20" ht="60" customHeight="1" x14ac:dyDescent="0.3">
      <c r="A57" s="36"/>
      <c r="B57" s="321" t="s">
        <v>465</v>
      </c>
      <c r="C57" s="900" t="s">
        <v>466</v>
      </c>
      <c r="D57" s="900"/>
      <c r="E57" s="900"/>
      <c r="F57" s="900"/>
      <c r="G57" s="900"/>
      <c r="H57" s="900"/>
      <c r="I57" s="900"/>
      <c r="J57" s="900"/>
      <c r="K57" s="900"/>
      <c r="L57" s="36"/>
    </row>
    <row r="58" spans="1:20" ht="14.25" customHeight="1" x14ac:dyDescent="0.3">
      <c r="A58" s="36"/>
      <c r="B58" s="36"/>
      <c r="C58" s="36"/>
      <c r="D58" s="36"/>
      <c r="E58" s="36"/>
      <c r="F58" s="36"/>
      <c r="G58" s="36"/>
      <c r="H58" s="36"/>
      <c r="I58" s="36"/>
      <c r="J58" s="36"/>
      <c r="K58" s="36"/>
      <c r="L58" s="36"/>
    </row>
    <row r="59" spans="1:20" ht="60" customHeight="1" x14ac:dyDescent="0.3">
      <c r="A59" s="36"/>
      <c r="B59" s="321" t="s">
        <v>467</v>
      </c>
      <c r="C59" s="900" t="s">
        <v>468</v>
      </c>
      <c r="D59" s="900"/>
      <c r="E59" s="900"/>
      <c r="F59" s="900"/>
      <c r="G59" s="900"/>
      <c r="H59" s="900"/>
      <c r="I59" s="900"/>
      <c r="J59" s="900"/>
      <c r="K59" s="900"/>
      <c r="L59" s="36"/>
    </row>
    <row r="60" spans="1:20" ht="14.25" customHeight="1" x14ac:dyDescent="0.3">
      <c r="A60" s="36"/>
      <c r="B60" s="36"/>
      <c r="C60" s="36"/>
      <c r="D60" s="36"/>
      <c r="E60" s="36"/>
      <c r="F60" s="36"/>
      <c r="G60" s="36"/>
      <c r="H60" s="36"/>
      <c r="I60" s="36"/>
      <c r="J60" s="36"/>
      <c r="K60" s="36"/>
      <c r="L60" s="36"/>
    </row>
    <row r="61" spans="1:20" ht="60" customHeight="1" x14ac:dyDescent="0.3">
      <c r="A61" s="36"/>
      <c r="B61" s="321" t="s">
        <v>469</v>
      </c>
      <c r="C61" s="900" t="s">
        <v>470</v>
      </c>
      <c r="D61" s="900"/>
      <c r="E61" s="900"/>
      <c r="F61" s="900"/>
      <c r="G61" s="900"/>
      <c r="H61" s="900"/>
      <c r="I61" s="900"/>
      <c r="J61" s="900"/>
      <c r="K61" s="900"/>
      <c r="L61" s="36"/>
    </row>
    <row r="62" spans="1:20" ht="14.25" customHeight="1" x14ac:dyDescent="0.3">
      <c r="A62" s="36"/>
      <c r="B62" s="252"/>
      <c r="C62" s="252"/>
      <c r="D62" s="252"/>
      <c r="E62" s="252"/>
      <c r="F62" s="252"/>
      <c r="G62" s="252"/>
      <c r="H62" s="252"/>
      <c r="I62" s="252"/>
      <c r="J62" s="252"/>
      <c r="K62" s="252"/>
      <c r="L62" s="252"/>
    </row>
    <row r="63" spans="1:20" ht="14.25" customHeight="1" x14ac:dyDescent="0.3">
      <c r="A63" s="36"/>
      <c r="B63" s="320" t="s">
        <v>471</v>
      </c>
      <c r="C63" s="36"/>
      <c r="D63" s="36"/>
      <c r="E63" s="36"/>
      <c r="F63" s="36"/>
      <c r="G63" s="36"/>
      <c r="H63" s="36"/>
      <c r="I63" s="36"/>
      <c r="J63" s="36"/>
      <c r="K63" s="36"/>
      <c r="L63" s="36"/>
    </row>
    <row r="64" spans="1:20" ht="60" customHeight="1" x14ac:dyDescent="0.3">
      <c r="A64" s="36"/>
      <c r="B64" s="321" t="s">
        <v>472</v>
      </c>
      <c r="C64" s="900" t="s">
        <v>473</v>
      </c>
      <c r="D64" s="900"/>
      <c r="E64" s="900"/>
      <c r="F64" s="900"/>
      <c r="G64" s="900"/>
      <c r="H64" s="900"/>
      <c r="I64" s="900"/>
      <c r="J64" s="900"/>
      <c r="K64" s="900"/>
      <c r="L64" s="36"/>
    </row>
    <row r="65" spans="1:12" ht="14.25" customHeight="1" x14ac:dyDescent="0.3">
      <c r="A65" s="36"/>
      <c r="B65" s="36"/>
      <c r="C65" s="36"/>
      <c r="D65" s="36"/>
      <c r="E65" s="36"/>
      <c r="F65" s="36"/>
      <c r="G65" s="36"/>
      <c r="H65" s="36"/>
      <c r="I65" s="36"/>
      <c r="J65" s="36"/>
      <c r="K65" s="36"/>
      <c r="L65" s="36"/>
    </row>
    <row r="66" spans="1:12" ht="60" customHeight="1" x14ac:dyDescent="0.3">
      <c r="A66" s="36"/>
      <c r="B66" s="321" t="s">
        <v>474</v>
      </c>
      <c r="C66" s="900" t="s">
        <v>475</v>
      </c>
      <c r="D66" s="900"/>
      <c r="E66" s="900"/>
      <c r="F66" s="900"/>
      <c r="G66" s="900"/>
      <c r="H66" s="900"/>
      <c r="I66" s="900"/>
      <c r="J66" s="900"/>
      <c r="K66" s="900"/>
      <c r="L66" s="36"/>
    </row>
    <row r="67" spans="1:12" ht="14.25" customHeight="1" x14ac:dyDescent="0.3">
      <c r="A67" s="36"/>
      <c r="B67" s="36"/>
      <c r="C67" s="36"/>
      <c r="D67" s="36"/>
      <c r="E67" s="36"/>
      <c r="F67" s="36"/>
      <c r="G67" s="36"/>
      <c r="H67" s="36"/>
      <c r="I67" s="36"/>
      <c r="J67" s="36"/>
      <c r="K67" s="36"/>
      <c r="L67" s="36"/>
    </row>
    <row r="68" spans="1:12" ht="60" customHeight="1" x14ac:dyDescent="0.3">
      <c r="A68" s="36"/>
      <c r="B68" s="321" t="s">
        <v>476</v>
      </c>
      <c r="C68" s="900" t="s">
        <v>477</v>
      </c>
      <c r="D68" s="900"/>
      <c r="E68" s="900"/>
      <c r="F68" s="900"/>
      <c r="G68" s="900"/>
      <c r="H68" s="900"/>
      <c r="I68" s="900"/>
      <c r="J68" s="900"/>
      <c r="K68" s="900"/>
      <c r="L68" s="36"/>
    </row>
    <row r="69" spans="1:12" ht="14.25" customHeight="1" x14ac:dyDescent="0.3">
      <c r="A69" s="36"/>
      <c r="B69" s="36"/>
      <c r="C69" s="36"/>
      <c r="D69" s="36"/>
      <c r="E69" s="36"/>
      <c r="F69" s="36"/>
      <c r="G69" s="36"/>
      <c r="H69" s="36"/>
      <c r="I69" s="36"/>
      <c r="J69" s="36"/>
      <c r="K69" s="36"/>
      <c r="L69" s="36"/>
    </row>
    <row r="70" spans="1:12" ht="60" customHeight="1" x14ac:dyDescent="0.3">
      <c r="A70" s="36"/>
      <c r="B70" s="322" t="s">
        <v>478</v>
      </c>
      <c r="C70" s="901" t="s">
        <v>479</v>
      </c>
      <c r="D70" s="901"/>
      <c r="E70" s="901"/>
      <c r="F70" s="901"/>
      <c r="G70" s="901"/>
      <c r="H70" s="901"/>
      <c r="I70" s="901"/>
      <c r="J70" s="901"/>
      <c r="K70" s="901"/>
      <c r="L70" s="252"/>
    </row>
    <row r="71" spans="1:12" ht="14.25" customHeight="1" x14ac:dyDescent="0.3">
      <c r="A71" s="36"/>
      <c r="B71" s="36"/>
      <c r="C71" s="36"/>
      <c r="D71" s="36"/>
      <c r="E71" s="36"/>
      <c r="F71" s="36"/>
      <c r="G71" s="36"/>
      <c r="H71" s="36"/>
      <c r="I71" s="36"/>
      <c r="J71" s="36"/>
      <c r="K71" s="36"/>
      <c r="L71" s="36"/>
    </row>
    <row r="72" spans="1:12" ht="60" customHeight="1" x14ac:dyDescent="0.3">
      <c r="A72" s="36"/>
      <c r="B72" s="321" t="s">
        <v>480</v>
      </c>
      <c r="C72" s="900" t="s">
        <v>481</v>
      </c>
      <c r="D72" s="900"/>
      <c r="E72" s="900"/>
      <c r="F72" s="900"/>
      <c r="G72" s="900"/>
      <c r="H72" s="900"/>
      <c r="I72" s="900"/>
      <c r="J72" s="900"/>
      <c r="K72" s="900"/>
      <c r="L72" s="36"/>
    </row>
  </sheetData>
  <mergeCells count="9">
    <mergeCell ref="C66:K66"/>
    <mergeCell ref="C68:K68"/>
    <mergeCell ref="C70:K70"/>
    <mergeCell ref="C72:K72"/>
    <mergeCell ref="C55:K55"/>
    <mergeCell ref="C57:K57"/>
    <mergeCell ref="C59:K59"/>
    <mergeCell ref="C61:K61"/>
    <mergeCell ref="C64:K64"/>
  </mergeCells>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L117"/>
  <sheetViews>
    <sheetView showGridLines="0" topLeftCell="B1" zoomScale="89" zoomScaleNormal="89" workbookViewId="0">
      <pane ySplit="3" topLeftCell="A4" activePane="bottomLeft" state="frozen"/>
      <selection pane="bottomLeft" activeCell="D8" sqref="D8"/>
    </sheetView>
  </sheetViews>
  <sheetFormatPr defaultColWidth="8.6640625" defaultRowHeight="14.4" x14ac:dyDescent="0.3"/>
  <cols>
    <col min="1" max="1" width="1.88671875" customWidth="1"/>
    <col min="2" max="2" width="70.77734375" bestFit="1" customWidth="1"/>
    <col min="3" max="3" width="77.77734375" customWidth="1"/>
    <col min="4" max="12" width="18.5546875" customWidth="1"/>
  </cols>
  <sheetData>
    <row r="1" spans="1:12" ht="24" customHeight="1" x14ac:dyDescent="0.3">
      <c r="A1" s="79"/>
      <c r="B1" s="894" t="s">
        <v>482</v>
      </c>
      <c r="C1" s="894"/>
      <c r="D1" s="894"/>
      <c r="E1" s="894"/>
      <c r="F1" s="894"/>
      <c r="G1" s="894"/>
      <c r="H1" s="894"/>
      <c r="I1" s="79"/>
      <c r="J1" s="79"/>
      <c r="K1" s="79"/>
      <c r="L1" s="79"/>
    </row>
    <row r="2" spans="1:12" ht="18" customHeight="1" thickBot="1" x14ac:dyDescent="0.35">
      <c r="A2" s="36"/>
      <c r="B2" s="48"/>
      <c r="C2" s="48"/>
      <c r="D2" s="48"/>
      <c r="E2" s="48"/>
      <c r="F2" s="48"/>
      <c r="G2" s="48"/>
      <c r="H2" s="48"/>
      <c r="I2" s="48"/>
      <c r="J2" s="48"/>
      <c r="K2" s="48"/>
      <c r="L2" s="48"/>
    </row>
    <row r="3" spans="1:12" ht="15" customHeight="1" thickBot="1" x14ac:dyDescent="0.35">
      <c r="A3" s="36"/>
      <c r="B3" s="323" t="s">
        <v>483</v>
      </c>
      <c r="C3" s="324" t="s">
        <v>484</v>
      </c>
      <c r="D3" s="325" t="s">
        <v>145</v>
      </c>
      <c r="E3" s="325" t="s">
        <v>146</v>
      </c>
      <c r="F3" s="325" t="s">
        <v>147</v>
      </c>
      <c r="G3" s="325" t="s">
        <v>148</v>
      </c>
      <c r="H3" s="326" t="s">
        <v>149</v>
      </c>
      <c r="I3" s="326" t="s">
        <v>1143</v>
      </c>
      <c r="J3" s="326" t="s">
        <v>1144</v>
      </c>
      <c r="K3" s="326" t="s">
        <v>1145</v>
      </c>
      <c r="L3" s="326" t="s">
        <v>1146</v>
      </c>
    </row>
    <row r="4" spans="1:12" ht="14.25" customHeight="1" x14ac:dyDescent="0.3">
      <c r="A4" s="36"/>
      <c r="B4" s="327"/>
      <c r="C4" s="328"/>
      <c r="D4" s="328"/>
      <c r="E4" s="328"/>
      <c r="F4" s="328"/>
      <c r="G4" s="328"/>
      <c r="H4" s="329"/>
      <c r="I4" s="48"/>
      <c r="J4" s="48"/>
      <c r="K4" s="48"/>
      <c r="L4" s="48"/>
    </row>
    <row r="5" spans="1:12" ht="27.75" customHeight="1" thickBot="1" x14ac:dyDescent="0.35">
      <c r="A5" s="330"/>
      <c r="B5" s="331" t="s">
        <v>485</v>
      </c>
      <c r="C5" s="332"/>
      <c r="D5" s="333"/>
      <c r="E5" s="333"/>
      <c r="F5" s="333"/>
      <c r="G5" s="333"/>
      <c r="H5" s="334"/>
      <c r="I5" s="334"/>
      <c r="J5" s="334"/>
      <c r="K5" s="334"/>
      <c r="L5" s="334"/>
    </row>
    <row r="6" spans="1:12" ht="22.5" customHeight="1" x14ac:dyDescent="0.3">
      <c r="A6" s="36"/>
      <c r="B6" s="335" t="s">
        <v>486</v>
      </c>
      <c r="C6" s="336" t="s">
        <v>487</v>
      </c>
      <c r="D6" s="337">
        <v>0.77900000000000003</v>
      </c>
      <c r="E6" s="338">
        <f>D6</f>
        <v>0.77900000000000003</v>
      </c>
      <c r="F6" s="338">
        <f>D6</f>
        <v>0.77900000000000003</v>
      </c>
      <c r="G6" s="338">
        <f>D6</f>
        <v>0.77900000000000003</v>
      </c>
      <c r="H6" s="339">
        <f>D6</f>
        <v>0.77900000000000003</v>
      </c>
      <c r="I6" s="339">
        <f>E6</f>
        <v>0.77900000000000003</v>
      </c>
      <c r="J6" s="339">
        <f>F6</f>
        <v>0.77900000000000003</v>
      </c>
      <c r="K6" s="339">
        <f>G6</f>
        <v>0.77900000000000003</v>
      </c>
      <c r="L6" s="339">
        <f>H6</f>
        <v>0.77900000000000003</v>
      </c>
    </row>
    <row r="7" spans="1:12" ht="22.5" customHeight="1" x14ac:dyDescent="0.3">
      <c r="A7" s="36"/>
      <c r="B7" s="340" t="s">
        <v>488</v>
      </c>
      <c r="C7" s="341" t="s">
        <v>489</v>
      </c>
      <c r="D7" s="342">
        <f t="shared" ref="D7:L7" si="0">(D85+D88)/(D83+D86)</f>
        <v>0.65936792554557122</v>
      </c>
      <c r="E7" s="342">
        <f t="shared" si="0"/>
        <v>0.81662081386392804</v>
      </c>
      <c r="F7" s="342">
        <f t="shared" si="0"/>
        <v>0.86155021052631586</v>
      </c>
      <c r="G7" s="342">
        <f t="shared" si="0"/>
        <v>0.86155021052631586</v>
      </c>
      <c r="H7" s="343">
        <f t="shared" si="0"/>
        <v>0.86155021052631586</v>
      </c>
      <c r="I7" s="343">
        <f t="shared" si="0"/>
        <v>0.86155021052631586</v>
      </c>
      <c r="J7" s="343">
        <f t="shared" si="0"/>
        <v>0.86155021052631586</v>
      </c>
      <c r="K7" s="343">
        <f t="shared" si="0"/>
        <v>0.86155021052631586</v>
      </c>
      <c r="L7" s="343">
        <f t="shared" si="0"/>
        <v>0.86155021052631586</v>
      </c>
    </row>
    <row r="8" spans="1:12" ht="22.5" customHeight="1" x14ac:dyDescent="0.3">
      <c r="A8" s="36"/>
      <c r="B8" s="344" t="s">
        <v>490</v>
      </c>
      <c r="C8" s="345" t="s">
        <v>491</v>
      </c>
      <c r="D8" s="346">
        <f t="shared" ref="D8:L8" si="1">D89</f>
        <v>513647.614</v>
      </c>
      <c r="E8" s="346">
        <f t="shared" si="1"/>
        <v>636147.61399999994</v>
      </c>
      <c r="F8" s="346">
        <f t="shared" si="1"/>
        <v>671147.61400000006</v>
      </c>
      <c r="G8" s="346">
        <f t="shared" si="1"/>
        <v>671147.61400000006</v>
      </c>
      <c r="H8" s="347">
        <f t="shared" si="1"/>
        <v>671147.61400000006</v>
      </c>
      <c r="I8" s="347">
        <f t="shared" si="1"/>
        <v>671147.61400000006</v>
      </c>
      <c r="J8" s="347">
        <f t="shared" si="1"/>
        <v>671147.61400000006</v>
      </c>
      <c r="K8" s="347">
        <f t="shared" si="1"/>
        <v>671147.61400000006</v>
      </c>
      <c r="L8" s="347">
        <f t="shared" si="1"/>
        <v>671147.61400000006</v>
      </c>
    </row>
    <row r="9" spans="1:12" ht="22.5" customHeight="1" x14ac:dyDescent="0.3">
      <c r="A9" s="36"/>
      <c r="B9" s="340" t="s">
        <v>492</v>
      </c>
      <c r="C9" s="341" t="s">
        <v>493</v>
      </c>
      <c r="D9" s="348">
        <f t="shared" ref="D9:L9" si="2">D10*10000000/D89</f>
        <v>32714.280000000002</v>
      </c>
      <c r="E9" s="348">
        <f t="shared" si="2"/>
        <v>32714.28</v>
      </c>
      <c r="F9" s="348">
        <f t="shared" si="2"/>
        <v>32714.28</v>
      </c>
      <c r="G9" s="348">
        <f t="shared" si="2"/>
        <v>32714.28</v>
      </c>
      <c r="H9" s="349">
        <f t="shared" si="2"/>
        <v>32714.28</v>
      </c>
      <c r="I9" s="349">
        <f t="shared" si="2"/>
        <v>32714.28</v>
      </c>
      <c r="J9" s="349">
        <f t="shared" si="2"/>
        <v>32714.28</v>
      </c>
      <c r="K9" s="349">
        <f t="shared" si="2"/>
        <v>32714.28</v>
      </c>
      <c r="L9" s="349">
        <f t="shared" si="2"/>
        <v>32714.28</v>
      </c>
    </row>
    <row r="10" spans="1:12" ht="14.25" customHeight="1" x14ac:dyDescent="0.3">
      <c r="A10" s="36"/>
      <c r="B10" s="344" t="s">
        <v>494</v>
      </c>
      <c r="C10" s="345" t="s">
        <v>495</v>
      </c>
      <c r="D10" s="350">
        <f t="shared" ref="D10:L10" si="3">D100</f>
        <v>1680.3611865727921</v>
      </c>
      <c r="E10" s="350">
        <f t="shared" si="3"/>
        <v>2081.1111165727916</v>
      </c>
      <c r="F10" s="350">
        <f t="shared" si="3"/>
        <v>2195.6110965727921</v>
      </c>
      <c r="G10" s="350">
        <f t="shared" si="3"/>
        <v>2195.6110965727921</v>
      </c>
      <c r="H10" s="351">
        <f t="shared" si="3"/>
        <v>2195.6110965727921</v>
      </c>
      <c r="I10" s="351">
        <f t="shared" si="3"/>
        <v>2195.6110965727921</v>
      </c>
      <c r="J10" s="351">
        <f t="shared" si="3"/>
        <v>2195.6110965727921</v>
      </c>
      <c r="K10" s="351">
        <f t="shared" si="3"/>
        <v>2195.6110965727921</v>
      </c>
      <c r="L10" s="351">
        <f t="shared" si="3"/>
        <v>2195.6110965727921</v>
      </c>
    </row>
    <row r="11" spans="1:12" ht="14.25" customHeight="1" x14ac:dyDescent="0.3">
      <c r="A11" s="36"/>
      <c r="B11" s="352"/>
      <c r="C11" s="353"/>
      <c r="D11" s="354"/>
      <c r="E11" s="354"/>
      <c r="F11" s="354"/>
      <c r="G11" s="354"/>
      <c r="H11" s="355"/>
      <c r="I11" s="355"/>
      <c r="J11" s="355"/>
      <c r="K11" s="355"/>
      <c r="L11" s="355"/>
    </row>
    <row r="12" spans="1:12" ht="27.75" customHeight="1" thickBot="1" x14ac:dyDescent="0.35">
      <c r="A12" s="330"/>
      <c r="B12" s="331" t="s">
        <v>496</v>
      </c>
      <c r="C12" s="332"/>
      <c r="D12" s="333"/>
      <c r="E12" s="333"/>
      <c r="F12" s="333"/>
      <c r="G12" s="333"/>
      <c r="H12" s="334"/>
      <c r="I12" s="334"/>
      <c r="J12" s="334"/>
      <c r="K12" s="334"/>
      <c r="L12" s="334"/>
    </row>
    <row r="13" spans="1:12" ht="22.5" customHeight="1" x14ac:dyDescent="0.3">
      <c r="A13" s="36"/>
      <c r="B13" s="335" t="s">
        <v>60</v>
      </c>
      <c r="C13" s="356" t="s">
        <v>497</v>
      </c>
      <c r="D13" s="770">
        <f>INDEX('Scenario Engine'!$B$7:$D$7,MATCH('Scenario Engine'!$B$3,{"Bull","Base","Bear"},0))</f>
        <v>0.82</v>
      </c>
      <c r="E13" s="770">
        <f>D13+INDEX('Scenario Engine'!$B$66:$D$66,MATCH('Scenario Engine'!$B$3,{"Bull","Base","Bear"},0))</f>
        <v>0.78999999999999992</v>
      </c>
      <c r="F13" s="770">
        <f>E13+INDEX('Scenario Engine'!$B$67:$D$67,MATCH('Scenario Engine'!$B$3,{"Bull","Base","Bear"},0))</f>
        <v>0.80999999999999994</v>
      </c>
      <c r="G13" s="770">
        <f>F13+INDEX('Scenario Engine'!$B$68:$D$68,MATCH('Scenario Engine'!$B$3,{"Bull","Base","Bear"},0))</f>
        <v>0.80799999999999994</v>
      </c>
      <c r="H13" s="771">
        <f>G13+INDEX('Scenario Engine'!$B$68:$D$68,MATCH('Scenario Engine'!$B$3,{"Bull","Base","Bear"},0))</f>
        <v>0.80599999999999994</v>
      </c>
      <c r="I13" s="771">
        <f>H13</f>
        <v>0.80599999999999994</v>
      </c>
      <c r="J13" s="771">
        <f>I13</f>
        <v>0.80599999999999994</v>
      </c>
      <c r="K13" s="771">
        <f>J13</f>
        <v>0.80599999999999994</v>
      </c>
      <c r="L13" s="771">
        <f>K13</f>
        <v>0.80599999999999994</v>
      </c>
    </row>
    <row r="14" spans="1:12" ht="14.25" customHeight="1" x14ac:dyDescent="0.3">
      <c r="A14" s="36"/>
      <c r="B14" s="344" t="s">
        <v>498</v>
      </c>
      <c r="C14" s="345" t="s">
        <v>499</v>
      </c>
      <c r="D14" s="357">
        <f t="shared" ref="D14:L14" si="4">D10*D13-D102</f>
        <v>1357.9461729896893</v>
      </c>
      <c r="E14" s="357">
        <f t="shared" si="4"/>
        <v>1604.1777820925051</v>
      </c>
      <c r="F14" s="357">
        <f t="shared" si="4"/>
        <v>1732.8449882239615</v>
      </c>
      <c r="G14" s="357">
        <f t="shared" si="4"/>
        <v>1728.453766030816</v>
      </c>
      <c r="H14" s="358">
        <f t="shared" si="4"/>
        <v>1724.0625438376703</v>
      </c>
      <c r="I14" s="358">
        <f t="shared" si="4"/>
        <v>1724.0625438376703</v>
      </c>
      <c r="J14" s="358">
        <f t="shared" si="4"/>
        <v>1724.0625438376703</v>
      </c>
      <c r="K14" s="358">
        <f t="shared" si="4"/>
        <v>1724.0625438376703</v>
      </c>
      <c r="L14" s="358">
        <f t="shared" si="4"/>
        <v>1724.0625438376703</v>
      </c>
    </row>
    <row r="15" spans="1:12" ht="14.25" customHeight="1" x14ac:dyDescent="0.3">
      <c r="A15" s="36"/>
      <c r="B15" s="344" t="s">
        <v>500</v>
      </c>
      <c r="C15" s="359" t="s">
        <v>501</v>
      </c>
      <c r="D15" s="357">
        <f>INDEX('Scenario Engine'!$B$10:$D$10,MATCH('Scenario Engine'!$B$3,{"Bull","Base","Bear"},0))</f>
        <v>85</v>
      </c>
      <c r="E15" s="357">
        <f>INDEX('Scenario Engine'!$B$10:$D$10,MATCH('Scenario Engine'!$B$3,{"Bull","Base","Bear"},0))</f>
        <v>85</v>
      </c>
      <c r="F15" s="357">
        <f>INDEX('Scenario Engine'!$B$10:$D$10,MATCH('Scenario Engine'!$B$3,{"Bull","Base","Bear"},0))</f>
        <v>85</v>
      </c>
      <c r="G15" s="357">
        <f>INDEX('Scenario Engine'!$B$10:$D$10,MATCH('Scenario Engine'!$B$3,{"Bull","Base","Bear"},0))</f>
        <v>85</v>
      </c>
      <c r="H15" s="358">
        <f>INDEX('Scenario Engine'!$B$10:$D$10,MATCH('Scenario Engine'!$B$3,{"Bull","Base","Bear"},0))</f>
        <v>85</v>
      </c>
      <c r="I15" s="358">
        <f>INDEX('Scenario Engine'!$B$10:$D$10,MATCH('Scenario Engine'!$B$3,{"Bull","Base","Bear"},0))</f>
        <v>85</v>
      </c>
      <c r="J15" s="358">
        <f>INDEX('Scenario Engine'!$B$10:$D$10,MATCH('Scenario Engine'!$B$3,{"Bull","Base","Bear"},0))</f>
        <v>85</v>
      </c>
      <c r="K15" s="358">
        <f>INDEX('Scenario Engine'!$B$10:$D$10,MATCH('Scenario Engine'!$B$3,{"Bull","Base","Bear"},0))</f>
        <v>85</v>
      </c>
      <c r="L15" s="358">
        <f>INDEX('Scenario Engine'!$B$10:$D$10,MATCH('Scenario Engine'!$B$3,{"Bull","Base","Bear"},0))</f>
        <v>85</v>
      </c>
    </row>
    <row r="16" spans="1:12" ht="14.25" customHeight="1" x14ac:dyDescent="0.3">
      <c r="A16" s="36"/>
      <c r="B16" s="344" t="s">
        <v>502</v>
      </c>
      <c r="C16" s="359" t="s">
        <v>503</v>
      </c>
      <c r="D16" s="357">
        <f>INDEX('Scenario Engine'!$B$11:$D$11,MATCH('Scenario Engine'!$B$3,{"Bull","Base","Bear"},0))</f>
        <v>170</v>
      </c>
      <c r="E16" s="357">
        <f>INDEX('Scenario Engine'!$B$11:$D$11,MATCH('Scenario Engine'!$B$3,{"Bull","Base","Bear"},0))</f>
        <v>170</v>
      </c>
      <c r="F16" s="357">
        <f>INDEX('Scenario Engine'!$B$11:$D$11,MATCH('Scenario Engine'!$B$3,{"Bull","Base","Bear"},0))</f>
        <v>170</v>
      </c>
      <c r="G16" s="357">
        <f>INDEX('Scenario Engine'!$B$11:$D$11,MATCH('Scenario Engine'!$B$3,{"Bull","Base","Bear"},0))</f>
        <v>170</v>
      </c>
      <c r="H16" s="358">
        <f>INDEX('Scenario Engine'!$B$11:$D$11,MATCH('Scenario Engine'!$B$3,{"Bull","Base","Bear"},0))</f>
        <v>170</v>
      </c>
      <c r="I16" s="358">
        <f>INDEX('Scenario Engine'!$B$11:$D$11,MATCH('Scenario Engine'!$B$3,{"Bull","Base","Bear"},0))</f>
        <v>170</v>
      </c>
      <c r="J16" s="358">
        <f>INDEX('Scenario Engine'!$B$11:$D$11,MATCH('Scenario Engine'!$B$3,{"Bull","Base","Bear"},0))</f>
        <v>170</v>
      </c>
      <c r="K16" s="358">
        <f>INDEX('Scenario Engine'!$B$11:$D$11,MATCH('Scenario Engine'!$B$3,{"Bull","Base","Bear"},0))</f>
        <v>170</v>
      </c>
      <c r="L16" s="358">
        <f>INDEX('Scenario Engine'!$B$11:$D$11,MATCH('Scenario Engine'!$B$3,{"Bull","Base","Bear"},0))</f>
        <v>170</v>
      </c>
    </row>
    <row r="17" spans="1:12" ht="22.5" customHeight="1" x14ac:dyDescent="0.3">
      <c r="A17" s="36"/>
      <c r="B17" s="340" t="s">
        <v>504</v>
      </c>
      <c r="C17" s="360" t="s">
        <v>1298</v>
      </c>
      <c r="D17" s="772">
        <f>INDEX('Scenario Engine'!$B$8:$D$8,MATCH('Scenario Engine'!$B$3,{"Bull","Base","Bear"},0))</f>
        <v>9.2999999999999992E-3</v>
      </c>
      <c r="E17" s="772">
        <f>INDEX('Scenario Engine'!$B$8:$D$8,MATCH('Scenario Engine'!$B$3,{"Bull","Base","Bear"},0))</f>
        <v>9.2999999999999992E-3</v>
      </c>
      <c r="F17" s="772">
        <f>INDEX('Scenario Engine'!$B$8:$D$8,MATCH('Scenario Engine'!$B$3,{"Bull","Base","Bear"},0))</f>
        <v>9.2999999999999992E-3</v>
      </c>
      <c r="G17" s="772">
        <f>INDEX('Scenario Engine'!$B$8:$D$8,MATCH('Scenario Engine'!$B$3,{"Bull","Base","Bear"},0))</f>
        <v>9.2999999999999992E-3</v>
      </c>
      <c r="H17" s="773">
        <f>INDEX('Scenario Engine'!$B$8:$D$8,MATCH('Scenario Engine'!$B$3,{"Bull","Base","Bear"},0))</f>
        <v>9.2999999999999992E-3</v>
      </c>
      <c r="I17" s="773">
        <f>INDEX('Scenario Engine'!$B$8:$D$8,MATCH('Scenario Engine'!$B$3,{"Bull","Base","Bear"},0))</f>
        <v>9.2999999999999992E-3</v>
      </c>
      <c r="J17" s="773">
        <f>INDEX('Scenario Engine'!$B$8:$D$8,MATCH('Scenario Engine'!$B$3,{"Bull","Base","Bear"},0))</f>
        <v>9.2999999999999992E-3</v>
      </c>
      <c r="K17" s="773">
        <f>INDEX('Scenario Engine'!$B$8:$D$8,MATCH('Scenario Engine'!$B$3,{"Bull","Base","Bear"},0))</f>
        <v>9.2999999999999992E-3</v>
      </c>
      <c r="L17" s="773">
        <f>INDEX('Scenario Engine'!$B$8:$D$8,MATCH('Scenario Engine'!$B$3,{"Bull","Base","Bear"},0))</f>
        <v>9.2999999999999992E-3</v>
      </c>
    </row>
    <row r="18" spans="1:12" ht="14.25" customHeight="1" x14ac:dyDescent="0.3">
      <c r="A18" s="36"/>
      <c r="B18" s="344" t="s">
        <v>505</v>
      </c>
      <c r="C18" s="359" t="s">
        <v>506</v>
      </c>
      <c r="D18" s="357">
        <f t="shared" ref="D18:L18" si="5">D10*D17</f>
        <v>15.627359035126965</v>
      </c>
      <c r="E18" s="357">
        <f t="shared" si="5"/>
        <v>19.35433338412696</v>
      </c>
      <c r="F18" s="357">
        <f t="shared" si="5"/>
        <v>20.419183198126966</v>
      </c>
      <c r="G18" s="357">
        <f t="shared" si="5"/>
        <v>20.419183198126966</v>
      </c>
      <c r="H18" s="358">
        <f t="shared" si="5"/>
        <v>20.419183198126966</v>
      </c>
      <c r="I18" s="358">
        <f t="shared" si="5"/>
        <v>20.419183198126966</v>
      </c>
      <c r="J18" s="358">
        <f t="shared" si="5"/>
        <v>20.419183198126966</v>
      </c>
      <c r="K18" s="358">
        <f t="shared" si="5"/>
        <v>20.419183198126966</v>
      </c>
      <c r="L18" s="358">
        <f t="shared" si="5"/>
        <v>20.419183198126966</v>
      </c>
    </row>
    <row r="19" spans="1:12" ht="22.5" customHeight="1" x14ac:dyDescent="0.3">
      <c r="A19" s="36"/>
      <c r="B19" s="340" t="s">
        <v>507</v>
      </c>
      <c r="C19" s="360" t="s">
        <v>508</v>
      </c>
      <c r="D19" s="772">
        <f>INDEX('Scenario Engine'!$B$9:$D$9,MATCH('Scenario Engine'!$B$3,{"Bull","Base","Bear"},0))</f>
        <v>3.7400000000000003E-2</v>
      </c>
      <c r="E19" s="772">
        <f>INDEX('Scenario Engine'!$B$9:$D$9,MATCH('Scenario Engine'!$B$3,{"Bull","Base","Bear"},0))</f>
        <v>3.7400000000000003E-2</v>
      </c>
      <c r="F19" s="772">
        <f>INDEX('Scenario Engine'!$B$9:$D$9,MATCH('Scenario Engine'!$B$3,{"Bull","Base","Bear"},0))</f>
        <v>3.7400000000000003E-2</v>
      </c>
      <c r="G19" s="772">
        <f>INDEX('Scenario Engine'!$B$9:$D$9,MATCH('Scenario Engine'!$B$3,{"Bull","Base","Bear"},0))</f>
        <v>3.7400000000000003E-2</v>
      </c>
      <c r="H19" s="773">
        <f>INDEX('Scenario Engine'!$B$9:$D$9,MATCH('Scenario Engine'!$B$3,{"Bull","Base","Bear"},0))</f>
        <v>3.7400000000000003E-2</v>
      </c>
      <c r="I19" s="773">
        <f>INDEX('Scenario Engine'!$B$9:$D$9,MATCH('Scenario Engine'!$B$3,{"Bull","Base","Bear"},0))</f>
        <v>3.7400000000000003E-2</v>
      </c>
      <c r="J19" s="773">
        <f>INDEX('Scenario Engine'!$B$9:$D$9,MATCH('Scenario Engine'!$B$3,{"Bull","Base","Bear"},0))</f>
        <v>3.7400000000000003E-2</v>
      </c>
      <c r="K19" s="773">
        <f>INDEX('Scenario Engine'!$B$9:$D$9,MATCH('Scenario Engine'!$B$3,{"Bull","Base","Bear"},0))</f>
        <v>3.7400000000000003E-2</v>
      </c>
      <c r="L19" s="773">
        <f>INDEX('Scenario Engine'!$B$9:$D$9,MATCH('Scenario Engine'!$B$3,{"Bull","Base","Bear"},0))</f>
        <v>3.7400000000000003E-2</v>
      </c>
    </row>
    <row r="20" spans="1:12" ht="14.25" customHeight="1" x14ac:dyDescent="0.3">
      <c r="A20" s="36"/>
      <c r="B20" s="344" t="s">
        <v>509</v>
      </c>
      <c r="C20" s="359" t="s">
        <v>510</v>
      </c>
      <c r="D20" s="357">
        <f t="shared" ref="D20:L20" si="6">D10*D19</f>
        <v>62.845508377822426</v>
      </c>
      <c r="E20" s="357">
        <f t="shared" si="6"/>
        <v>77.833555759822417</v>
      </c>
      <c r="F20" s="357">
        <f t="shared" si="6"/>
        <v>82.115855011822433</v>
      </c>
      <c r="G20" s="357">
        <f t="shared" si="6"/>
        <v>82.115855011822433</v>
      </c>
      <c r="H20" s="358">
        <f t="shared" si="6"/>
        <v>82.115855011822433</v>
      </c>
      <c r="I20" s="358">
        <f t="shared" si="6"/>
        <v>82.115855011822433</v>
      </c>
      <c r="J20" s="358">
        <f t="shared" si="6"/>
        <v>82.115855011822433</v>
      </c>
      <c r="K20" s="358">
        <f t="shared" si="6"/>
        <v>82.115855011822433</v>
      </c>
      <c r="L20" s="358">
        <f t="shared" si="6"/>
        <v>82.115855011822433</v>
      </c>
    </row>
    <row r="21" spans="1:12" ht="22.5" customHeight="1" x14ac:dyDescent="0.3">
      <c r="A21" s="36"/>
      <c r="B21" s="344" t="s">
        <v>511</v>
      </c>
      <c r="C21" s="359" t="s">
        <v>512</v>
      </c>
      <c r="D21" s="357">
        <f t="shared" ref="D21:L21" si="7">D10-D14-D18-D20</f>
        <v>243.94214617015339</v>
      </c>
      <c r="E21" s="357">
        <f t="shared" si="7"/>
        <v>379.74544533633707</v>
      </c>
      <c r="F21" s="357">
        <f t="shared" si="7"/>
        <v>360.23107013888119</v>
      </c>
      <c r="G21" s="357">
        <f t="shared" si="7"/>
        <v>364.62229233202669</v>
      </c>
      <c r="H21" s="358">
        <f t="shared" si="7"/>
        <v>369.01351452517241</v>
      </c>
      <c r="I21" s="358">
        <f t="shared" si="7"/>
        <v>369.01351452517241</v>
      </c>
      <c r="J21" s="358">
        <f t="shared" si="7"/>
        <v>369.01351452517241</v>
      </c>
      <c r="K21" s="358">
        <f t="shared" si="7"/>
        <v>369.01351452517241</v>
      </c>
      <c r="L21" s="358">
        <f t="shared" si="7"/>
        <v>369.01351452517241</v>
      </c>
    </row>
    <row r="22" spans="1:12" ht="14.25" customHeight="1" x14ac:dyDescent="0.3">
      <c r="A22" s="36"/>
      <c r="B22" s="361" t="s">
        <v>513</v>
      </c>
      <c r="C22" s="362" t="s">
        <v>514</v>
      </c>
      <c r="D22" s="363">
        <f t="shared" ref="D22:L22" si="8">D21/D10</f>
        <v>0.14517244751867278</v>
      </c>
      <c r="E22" s="363">
        <f t="shared" si="8"/>
        <v>0.18247245056367206</v>
      </c>
      <c r="F22" s="363">
        <f t="shared" si="8"/>
        <v>0.16406870538283339</v>
      </c>
      <c r="G22" s="363">
        <f t="shared" si="8"/>
        <v>0.16606870538283336</v>
      </c>
      <c r="H22" s="364">
        <f t="shared" si="8"/>
        <v>0.16806870538283342</v>
      </c>
      <c r="I22" s="364">
        <f t="shared" si="8"/>
        <v>0.16806870538283342</v>
      </c>
      <c r="J22" s="364">
        <f t="shared" si="8"/>
        <v>0.16806870538283342</v>
      </c>
      <c r="K22" s="364">
        <f t="shared" si="8"/>
        <v>0.16806870538283342</v>
      </c>
      <c r="L22" s="364">
        <f t="shared" si="8"/>
        <v>0.16806870538283342</v>
      </c>
    </row>
    <row r="23" spans="1:12" ht="14.25" customHeight="1" thickBot="1" x14ac:dyDescent="0.35">
      <c r="A23" s="330"/>
      <c r="B23" s="365" t="s">
        <v>1238</v>
      </c>
      <c r="C23" s="366"/>
      <c r="D23" s="366"/>
      <c r="E23" s="366"/>
      <c r="F23" s="366"/>
      <c r="G23" s="366"/>
      <c r="H23" s="367"/>
      <c r="I23" s="367"/>
      <c r="J23" s="367"/>
      <c r="K23" s="367"/>
      <c r="L23" s="367"/>
    </row>
    <row r="24" spans="1:12" ht="14.25" customHeight="1" x14ac:dyDescent="0.3">
      <c r="A24" s="48"/>
      <c r="B24" s="368" t="s">
        <v>1132</v>
      </c>
      <c r="C24" s="369" t="s">
        <v>1139</v>
      </c>
      <c r="D24" s="370">
        <f>D22</f>
        <v>0.14517244751867278</v>
      </c>
      <c r="E24" s="371"/>
      <c r="F24" s="371"/>
      <c r="G24" s="371"/>
      <c r="H24" s="372"/>
      <c r="I24" s="372"/>
      <c r="J24" s="372"/>
      <c r="K24" s="372"/>
      <c r="L24" s="372"/>
    </row>
    <row r="25" spans="1:12" ht="14.25" customHeight="1" x14ac:dyDescent="0.3">
      <c r="A25" s="48"/>
      <c r="B25" s="373" t="s">
        <v>1239</v>
      </c>
      <c r="C25" s="374"/>
      <c r="D25" s="375">
        <f>D13-H13</f>
        <v>1.4000000000000012E-2</v>
      </c>
      <c r="E25" s="374"/>
      <c r="F25" s="374"/>
      <c r="G25" s="374"/>
      <c r="H25" s="376"/>
      <c r="I25" s="376"/>
      <c r="J25" s="376"/>
      <c r="K25" s="376"/>
      <c r="L25" s="376"/>
    </row>
    <row r="26" spans="1:12" ht="14.25" customHeight="1" x14ac:dyDescent="0.3">
      <c r="A26" s="48"/>
      <c r="B26" s="377" t="s">
        <v>1133</v>
      </c>
      <c r="C26" s="374"/>
      <c r="D26" s="375">
        <f>H102/H10</f>
        <v>2.0768705382833357E-2</v>
      </c>
      <c r="E26" s="374"/>
      <c r="F26" s="374"/>
      <c r="G26" s="374"/>
      <c r="H26" s="376"/>
      <c r="I26" s="376"/>
      <c r="J26" s="376"/>
      <c r="K26" s="376"/>
      <c r="L26" s="376"/>
    </row>
    <row r="27" spans="1:12" ht="14.25" customHeight="1" x14ac:dyDescent="0.3">
      <c r="A27" s="48"/>
      <c r="B27" s="377" t="s">
        <v>1134</v>
      </c>
      <c r="C27" s="374"/>
      <c r="D27" s="375">
        <f>(D17+D19)-(H17+H19)</f>
        <v>0</v>
      </c>
      <c r="E27" s="374"/>
      <c r="F27" s="374"/>
      <c r="G27" s="374"/>
      <c r="H27" s="376"/>
      <c r="I27" s="376"/>
      <c r="J27" s="376"/>
      <c r="K27" s="376"/>
      <c r="L27" s="376"/>
    </row>
    <row r="28" spans="1:12" ht="14.25" customHeight="1" x14ac:dyDescent="0.3">
      <c r="A28" s="48"/>
      <c r="B28" s="378" t="s">
        <v>1135</v>
      </c>
      <c r="C28" s="374"/>
      <c r="D28" s="379">
        <f>SUM(D25:D27)</f>
        <v>3.4768705382833373E-2</v>
      </c>
      <c r="E28" s="374"/>
      <c r="F28" s="374"/>
      <c r="G28" s="374"/>
      <c r="H28" s="376"/>
      <c r="I28" s="376"/>
      <c r="J28" s="376"/>
      <c r="K28" s="376"/>
      <c r="L28" s="376"/>
    </row>
    <row r="29" spans="1:12" ht="14.25" customHeight="1" x14ac:dyDescent="0.3">
      <c r="A29" s="48"/>
      <c r="B29" s="380" t="s">
        <v>1136</v>
      </c>
      <c r="C29" s="374"/>
      <c r="D29" s="381">
        <f>D24+D28</f>
        <v>0.17994115290150614</v>
      </c>
      <c r="E29" s="382"/>
      <c r="F29" s="374"/>
      <c r="G29" s="374"/>
      <c r="H29" s="376"/>
      <c r="I29" s="376"/>
      <c r="J29" s="376"/>
      <c r="K29" s="376"/>
      <c r="L29" s="376"/>
    </row>
    <row r="30" spans="1:12" ht="14.25" customHeight="1" x14ac:dyDescent="0.3">
      <c r="A30" s="48"/>
      <c r="B30" s="378" t="s">
        <v>1137</v>
      </c>
      <c r="C30" s="374"/>
      <c r="D30" s="383">
        <f>H22</f>
        <v>0.16806870538283342</v>
      </c>
      <c r="E30" s="382"/>
      <c r="F30" s="374"/>
      <c r="G30" s="374"/>
      <c r="H30" s="376"/>
      <c r="I30" s="376"/>
      <c r="J30" s="376"/>
      <c r="K30" s="376"/>
      <c r="L30" s="376"/>
    </row>
    <row r="31" spans="1:12" ht="14.25" customHeight="1" thickBot="1" x14ac:dyDescent="0.35">
      <c r="A31" s="48"/>
      <c r="B31" s="384" t="s">
        <v>1138</v>
      </c>
      <c r="C31" s="385"/>
      <c r="D31" s="386">
        <f>D30-D29</f>
        <v>-1.1872447518672724E-2</v>
      </c>
      <c r="E31" s="385"/>
      <c r="F31" s="385"/>
      <c r="G31" s="385"/>
      <c r="H31" s="387"/>
      <c r="I31" s="387"/>
      <c r="J31" s="387"/>
      <c r="K31" s="387"/>
      <c r="L31" s="387"/>
    </row>
    <row r="32" spans="1:12" ht="14.25" customHeight="1" x14ac:dyDescent="0.3">
      <c r="A32" s="330"/>
      <c r="B32" s="388" t="s">
        <v>1240</v>
      </c>
      <c r="C32" s="388" t="s">
        <v>1241</v>
      </c>
      <c r="D32" s="389" t="s">
        <v>145</v>
      </c>
      <c r="E32" s="390" t="s">
        <v>146</v>
      </c>
      <c r="F32" s="390" t="s">
        <v>147</v>
      </c>
      <c r="G32" s="390" t="s">
        <v>148</v>
      </c>
      <c r="H32" s="390" t="s">
        <v>1242</v>
      </c>
      <c r="I32" s="330"/>
      <c r="J32" s="330"/>
      <c r="K32" s="330"/>
      <c r="L32" s="330"/>
    </row>
    <row r="33" spans="1:12" ht="14.25" customHeight="1" x14ac:dyDescent="0.3">
      <c r="A33" s="48"/>
      <c r="B33" s="391" t="s">
        <v>1243</v>
      </c>
      <c r="C33" s="48"/>
      <c r="D33" s="392">
        <v>0.84</v>
      </c>
      <c r="E33" s="393">
        <v>0.75</v>
      </c>
      <c r="F33" s="393">
        <v>0.80500000000000005</v>
      </c>
      <c r="G33" s="393">
        <v>0.80500000000000005</v>
      </c>
      <c r="H33" s="393">
        <v>0.80500000000000005</v>
      </c>
      <c r="I33" s="48"/>
      <c r="J33" s="48"/>
      <c r="K33" s="48"/>
      <c r="L33" s="48"/>
    </row>
    <row r="34" spans="1:12" ht="14.25" customHeight="1" x14ac:dyDescent="0.3">
      <c r="A34" s="48"/>
      <c r="B34" s="391" t="s">
        <v>1244</v>
      </c>
      <c r="C34" s="48"/>
      <c r="D34" s="394">
        <v>0</v>
      </c>
      <c r="E34" s="395">
        <v>0</v>
      </c>
      <c r="F34" s="395">
        <v>0</v>
      </c>
      <c r="G34" s="395">
        <v>0</v>
      </c>
      <c r="H34" s="395">
        <v>0</v>
      </c>
      <c r="I34" s="48"/>
      <c r="J34" s="48"/>
      <c r="K34" s="48"/>
      <c r="L34" s="48"/>
    </row>
    <row r="35" spans="1:12" ht="14.25" customHeight="1" x14ac:dyDescent="0.3">
      <c r="A35" s="48"/>
      <c r="B35" s="391" t="s">
        <v>1245</v>
      </c>
      <c r="C35" s="48"/>
      <c r="D35" s="394">
        <v>-63.16</v>
      </c>
      <c r="E35" s="395">
        <v>-14.81</v>
      </c>
      <c r="F35" s="395">
        <v>-34.270000000000003</v>
      </c>
      <c r="G35" s="395">
        <v>0</v>
      </c>
      <c r="H35" s="395">
        <v>0</v>
      </c>
      <c r="I35" s="48"/>
      <c r="J35" s="48"/>
      <c r="K35" s="48"/>
      <c r="L35" s="48"/>
    </row>
    <row r="36" spans="1:12" ht="14.25" customHeight="1" x14ac:dyDescent="0.3">
      <c r="A36" s="48"/>
      <c r="B36" s="391" t="s">
        <v>1246</v>
      </c>
      <c r="C36" s="48"/>
      <c r="D36" s="396">
        <v>1.23E-2</v>
      </c>
      <c r="E36" s="397">
        <v>1.264E-2</v>
      </c>
      <c r="F36" s="397">
        <v>1.264E-2</v>
      </c>
      <c r="G36" s="397">
        <v>1.264E-2</v>
      </c>
      <c r="H36" s="397">
        <v>1.264E-2</v>
      </c>
      <c r="I36" s="48"/>
      <c r="J36" s="48"/>
      <c r="K36" s="48"/>
      <c r="L36" s="48"/>
    </row>
    <row r="37" spans="1:12" ht="14.25" customHeight="1" x14ac:dyDescent="0.3">
      <c r="A37" s="48"/>
      <c r="B37" s="391" t="s">
        <v>1247</v>
      </c>
      <c r="C37" s="48"/>
      <c r="D37" s="396">
        <v>2.4199999999999999E-2</v>
      </c>
      <c r="E37" s="397">
        <v>2.6710000000000001E-2</v>
      </c>
      <c r="F37" s="397">
        <v>2.6710000000000001E-2</v>
      </c>
      <c r="G37" s="397">
        <v>2.6710000000000001E-2</v>
      </c>
      <c r="H37" s="397">
        <v>2.6710000000000001E-2</v>
      </c>
      <c r="I37" s="48"/>
      <c r="J37" s="48"/>
      <c r="K37" s="48"/>
      <c r="L37" s="48"/>
    </row>
    <row r="38" spans="1:12" ht="14.25" customHeight="1" x14ac:dyDescent="0.3">
      <c r="A38" s="48"/>
      <c r="B38" s="391" t="s">
        <v>1248</v>
      </c>
      <c r="C38" s="48"/>
      <c r="D38" s="396">
        <v>1.5599999999999999E-2</v>
      </c>
      <c r="E38" s="397">
        <v>1.4999999999999999E-2</v>
      </c>
      <c r="F38" s="397">
        <v>1.4999999999999999E-2</v>
      </c>
      <c r="G38" s="397">
        <v>1.4999999999999999E-2</v>
      </c>
      <c r="H38" s="397">
        <v>1.4999999999999999E-2</v>
      </c>
      <c r="I38" s="48"/>
      <c r="J38" s="48"/>
      <c r="K38" s="48"/>
      <c r="L38" s="48"/>
    </row>
    <row r="39" spans="1:12" ht="14.25" customHeight="1" x14ac:dyDescent="0.3">
      <c r="A39" s="48"/>
      <c r="B39" s="391" t="s">
        <v>1249</v>
      </c>
      <c r="C39" s="48"/>
      <c r="D39" s="396">
        <v>4.3E-3</v>
      </c>
      <c r="E39" s="397">
        <v>2.5000000000000001E-3</v>
      </c>
      <c r="F39" s="397">
        <v>2.5000000000000001E-3</v>
      </c>
      <c r="G39" s="397">
        <v>2.5000000000000001E-3</v>
      </c>
      <c r="H39" s="397">
        <v>2.5000000000000001E-3</v>
      </c>
      <c r="I39" s="48"/>
      <c r="J39" s="48"/>
      <c r="K39" s="48"/>
      <c r="L39" s="48"/>
    </row>
    <row r="40" spans="1:12" ht="14.25" customHeight="1" x14ac:dyDescent="0.3">
      <c r="A40" s="48"/>
      <c r="B40" s="391" t="s">
        <v>1250</v>
      </c>
      <c r="C40" s="48"/>
      <c r="D40" s="396">
        <v>4.7999999999999996E-3</v>
      </c>
      <c r="E40" s="397">
        <v>6.9999999999999999E-4</v>
      </c>
      <c r="F40" s="397">
        <v>6.9999999999999999E-4</v>
      </c>
      <c r="G40" s="397">
        <v>6.9999999999999999E-4</v>
      </c>
      <c r="H40" s="397">
        <v>6.9999999999999999E-4</v>
      </c>
      <c r="I40" s="48"/>
      <c r="J40" s="48"/>
      <c r="K40" s="48"/>
      <c r="L40" s="48"/>
    </row>
    <row r="41" spans="1:12" ht="14.25" customHeight="1" x14ac:dyDescent="0.3">
      <c r="A41" s="48"/>
      <c r="B41" s="398" t="s">
        <v>1251</v>
      </c>
      <c r="C41" s="48"/>
      <c r="D41" s="399">
        <v>0</v>
      </c>
      <c r="E41" s="400">
        <f>E102</f>
        <v>39.9</v>
      </c>
      <c r="F41" s="400">
        <f>F102</f>
        <v>45.6</v>
      </c>
      <c r="G41" s="400">
        <f>G102</f>
        <v>45.6</v>
      </c>
      <c r="H41" s="400">
        <f>H102</f>
        <v>45.6</v>
      </c>
      <c r="I41" s="48"/>
      <c r="J41" s="48"/>
      <c r="K41" s="48"/>
      <c r="L41" s="48"/>
    </row>
    <row r="42" spans="1:12" ht="14.25" customHeight="1" x14ac:dyDescent="0.3">
      <c r="A42" s="48"/>
      <c r="B42" s="401" t="s">
        <v>1252</v>
      </c>
      <c r="C42" s="48"/>
      <c r="D42" s="402">
        <f>D10*(D33+D36+D37+D38+D39+D40)+D34+D35-D41</f>
        <v>1451.1815013394</v>
      </c>
      <c r="E42" s="403">
        <f>E10*(E33+E36+E37+E38+E39+E40)+E34+E35-E41</f>
        <v>1625.8912821883578</v>
      </c>
      <c r="F42" s="403">
        <f>F10*(F33+F36+F37+F38+F39+F40)+F34+F35-F41</f>
        <v>1813.954351348862</v>
      </c>
      <c r="G42" s="403">
        <f>G10*(G33+G36+G37+G38+G39+G40)+G34+G35-G41</f>
        <v>1848.224351348862</v>
      </c>
      <c r="H42" s="403">
        <f>H10*(H33+H36+H37+H38+H39+H40)+H34+H35-H41</f>
        <v>1848.224351348862</v>
      </c>
      <c r="I42" s="48"/>
      <c r="J42" s="48"/>
      <c r="K42" s="48"/>
      <c r="L42" s="48"/>
    </row>
    <row r="43" spans="1:12" ht="14.25" customHeight="1" x14ac:dyDescent="0.3">
      <c r="A43" s="48"/>
      <c r="B43" s="404" t="s">
        <v>1253</v>
      </c>
      <c r="C43" s="48"/>
      <c r="D43" s="405">
        <f>D42/D10</f>
        <v>0.86361284284313944</v>
      </c>
      <c r="E43" s="406">
        <f>E42/E10</f>
        <v>0.78126115863813295</v>
      </c>
      <c r="F43" s="406">
        <f>F42/F10</f>
        <v>0.82617288379546283</v>
      </c>
      <c r="G43" s="406">
        <f>G42/G10</f>
        <v>0.84178129461716666</v>
      </c>
      <c r="H43" s="406">
        <f>H42/H10</f>
        <v>0.84178129461716666</v>
      </c>
      <c r="I43" s="48"/>
      <c r="J43" s="48"/>
      <c r="K43" s="48"/>
      <c r="L43" s="48"/>
    </row>
    <row r="44" spans="1:12" ht="49.95" customHeight="1" x14ac:dyDescent="0.3">
      <c r="A44" s="407"/>
      <c r="B44" s="902" t="s">
        <v>1300</v>
      </c>
      <c r="C44" s="903"/>
      <c r="D44" s="903"/>
      <c r="E44" s="903"/>
      <c r="F44" s="903"/>
      <c r="G44" s="903"/>
      <c r="H44" s="903"/>
      <c r="I44" s="903"/>
      <c r="J44" s="903"/>
      <c r="K44" s="903"/>
      <c r="L44" s="903"/>
    </row>
    <row r="45" spans="1:12" ht="14.25" customHeight="1" x14ac:dyDescent="0.3">
      <c r="A45" s="407"/>
      <c r="B45" s="48"/>
      <c r="C45" s="48"/>
      <c r="D45" s="48"/>
      <c r="E45" s="48"/>
      <c r="F45" s="48"/>
      <c r="G45" s="48"/>
      <c r="H45" s="48"/>
      <c r="I45" s="48"/>
      <c r="J45" s="48"/>
      <c r="K45" s="48"/>
      <c r="L45" s="48"/>
    </row>
    <row r="46" spans="1:12" ht="14.25" customHeight="1" x14ac:dyDescent="0.3">
      <c r="A46" s="407"/>
      <c r="B46" s="48"/>
      <c r="C46" s="48"/>
      <c r="D46" s="48"/>
      <c r="E46" s="48"/>
      <c r="F46" s="48"/>
      <c r="G46" s="48"/>
      <c r="H46" s="48"/>
      <c r="I46" s="48"/>
      <c r="J46" s="48"/>
      <c r="K46" s="48"/>
      <c r="L46" s="48"/>
    </row>
    <row r="47" spans="1:12" ht="14.25" customHeight="1" x14ac:dyDescent="0.3">
      <c r="A47" s="36"/>
      <c r="B47" s="352"/>
      <c r="C47" s="353"/>
      <c r="D47" s="354"/>
      <c r="E47" s="354"/>
      <c r="F47" s="354"/>
      <c r="G47" s="354"/>
      <c r="H47" s="355"/>
      <c r="I47" s="355"/>
      <c r="J47" s="355"/>
      <c r="K47" s="355"/>
      <c r="L47" s="355"/>
    </row>
    <row r="48" spans="1:12" ht="27.75" customHeight="1" thickBot="1" x14ac:dyDescent="0.35">
      <c r="A48" s="330"/>
      <c r="B48" s="331" t="s">
        <v>515</v>
      </c>
      <c r="C48" s="332"/>
      <c r="D48" s="333"/>
      <c r="E48" s="333"/>
      <c r="F48" s="333"/>
      <c r="G48" s="333"/>
      <c r="H48" s="334"/>
      <c r="I48" s="334"/>
      <c r="J48" s="334"/>
      <c r="K48" s="334"/>
      <c r="L48" s="334"/>
    </row>
    <row r="49" spans="1:12" ht="22.5" customHeight="1" x14ac:dyDescent="0.3">
      <c r="A49" s="36"/>
      <c r="B49" s="408" t="s">
        <v>77</v>
      </c>
      <c r="C49" s="356" t="s">
        <v>516</v>
      </c>
      <c r="D49" s="774">
        <f>INDEX('Scenario Engine'!$B$18:$D$18,MATCH('Scenario Engine'!$B$3,{"Bull","Base","Bear"},0))</f>
        <v>35</v>
      </c>
      <c r="E49" s="774">
        <f>MAX(INDEX('Scenario Engine'!$B$71:$D$71,MATCH('Scenario Engine'!$B$3,{"Bull","Base","Bear"},0)),D49+INDEX('Scenario Engine'!$B$69:$D$69,MATCH('Scenario Engine'!$B$3,{"Bull","Base","Bear"},0)))</f>
        <v>34</v>
      </c>
      <c r="F49" s="774">
        <f>MAX(INDEX('Scenario Engine'!$B$71:$D$71,MATCH('Scenario Engine'!$B$3,{"Bull","Base","Bear"},0)),E49+INDEX('Scenario Engine'!$B$69:$D$69,MATCH('Scenario Engine'!$B$3,{"Bull","Base","Bear"},0)))</f>
        <v>33</v>
      </c>
      <c r="G49" s="774">
        <f>MAX(INDEX('Scenario Engine'!$B$71:$D$71,MATCH('Scenario Engine'!$B$3,{"Bull","Base","Bear"},0)),F49+INDEX('Scenario Engine'!$B$69:$D$69,MATCH('Scenario Engine'!$B$3,{"Bull","Base","Bear"},0)))</f>
        <v>32</v>
      </c>
      <c r="H49" s="775">
        <f>MAX(INDEX('Scenario Engine'!$B$71:$D$71,MATCH('Scenario Engine'!$B$3,{"Bull","Base","Bear"},0)),G49+INDEX('Scenario Engine'!$B$69:$D$69,MATCH('Scenario Engine'!$B$3,{"Bull","Base","Bear"},0)))</f>
        <v>31</v>
      </c>
      <c r="I49" s="775">
        <f>H49</f>
        <v>31</v>
      </c>
      <c r="J49" s="775">
        <f>I49</f>
        <v>31</v>
      </c>
      <c r="K49" s="775">
        <f>J49</f>
        <v>31</v>
      </c>
      <c r="L49" s="775">
        <f>K49</f>
        <v>31</v>
      </c>
    </row>
    <row r="50" spans="1:12" ht="14.25" customHeight="1" x14ac:dyDescent="0.3">
      <c r="A50" s="36"/>
      <c r="B50" s="344" t="s">
        <v>517</v>
      </c>
      <c r="C50" s="359" t="s">
        <v>518</v>
      </c>
      <c r="D50" s="357">
        <f t="shared" ref="D50:L50" si="9">(D10/365)*D49</f>
        <v>161.13052473985678</v>
      </c>
      <c r="E50" s="357">
        <f t="shared" si="9"/>
        <v>193.85692592732855</v>
      </c>
      <c r="F50" s="357">
        <f t="shared" si="9"/>
        <v>198.50730462164969</v>
      </c>
      <c r="G50" s="357">
        <f t="shared" si="9"/>
        <v>192.49193175432697</v>
      </c>
      <c r="H50" s="358">
        <f t="shared" si="9"/>
        <v>186.47655888700424</v>
      </c>
      <c r="I50" s="358">
        <f t="shared" si="9"/>
        <v>186.47655888700424</v>
      </c>
      <c r="J50" s="358">
        <f t="shared" si="9"/>
        <v>186.47655888700424</v>
      </c>
      <c r="K50" s="358">
        <f t="shared" si="9"/>
        <v>186.47655888700424</v>
      </c>
      <c r="L50" s="358">
        <f t="shared" si="9"/>
        <v>186.47655888700424</v>
      </c>
    </row>
    <row r="51" spans="1:12" ht="22.5" customHeight="1" x14ac:dyDescent="0.3">
      <c r="A51" s="36"/>
      <c r="B51" s="409" t="s">
        <v>79</v>
      </c>
      <c r="C51" s="360" t="s">
        <v>519</v>
      </c>
      <c r="D51" s="776">
        <f>INDEX('Scenario Engine'!$B$19:$D$19,MATCH('Scenario Engine'!$B$3,{"Bull","Base","Bear"},0))</f>
        <v>45</v>
      </c>
      <c r="E51" s="776">
        <f>MAX(INDEX('Scenario Engine'!$B$72:$D$72,MATCH('Scenario Engine'!$B$3,{"Bull","Base","Bear"},0)),D51+INDEX('Scenario Engine'!$B$70:$D$70,MATCH('Scenario Engine'!$B$3,{"Bull","Base","Bear"},0)))</f>
        <v>43</v>
      </c>
      <c r="F51" s="776">
        <f>MAX(INDEX('Scenario Engine'!$B$72:$D$72,MATCH('Scenario Engine'!$B$3,{"Bull","Base","Bear"},0)),E51+INDEX('Scenario Engine'!$B$70:$D$70,MATCH('Scenario Engine'!$B$3,{"Bull","Base","Bear"},0)))</f>
        <v>41</v>
      </c>
      <c r="G51" s="776">
        <f>MAX(INDEX('Scenario Engine'!$B$72:$D$72,MATCH('Scenario Engine'!$B$3,{"Bull","Base","Bear"},0)),F51+INDEX('Scenario Engine'!$B$70:$D$70,MATCH('Scenario Engine'!$B$3,{"Bull","Base","Bear"},0)))</f>
        <v>40</v>
      </c>
      <c r="H51" s="777">
        <f>MAX(INDEX('Scenario Engine'!$B$72:$D$72,MATCH('Scenario Engine'!$B$3,{"Bull","Base","Bear"},0)),G51+INDEX('Scenario Engine'!$B$70:$D$70,MATCH('Scenario Engine'!$B$3,{"Bull","Base","Bear"},0)))</f>
        <v>40</v>
      </c>
      <c r="I51" s="777">
        <f>H51</f>
        <v>40</v>
      </c>
      <c r="J51" s="777">
        <f>I51</f>
        <v>40</v>
      </c>
      <c r="K51" s="777">
        <f>J51</f>
        <v>40</v>
      </c>
      <c r="L51" s="777">
        <f>K51</f>
        <v>40</v>
      </c>
    </row>
    <row r="52" spans="1:12" ht="14.25" customHeight="1" x14ac:dyDescent="0.3">
      <c r="A52" s="36"/>
      <c r="B52" s="344" t="s">
        <v>520</v>
      </c>
      <c r="C52" s="359" t="s">
        <v>521</v>
      </c>
      <c r="D52" s="357">
        <f t="shared" ref="D52:L52" si="10">(D14/365)*D51</f>
        <v>167.41802132749595</v>
      </c>
      <c r="E52" s="357">
        <f t="shared" si="10"/>
        <v>188.98532775336361</v>
      </c>
      <c r="F52" s="357">
        <f t="shared" si="10"/>
        <v>194.64834114296553</v>
      </c>
      <c r="G52" s="357">
        <f t="shared" si="10"/>
        <v>189.41959079789765</v>
      </c>
      <c r="H52" s="358">
        <f t="shared" si="10"/>
        <v>188.9383609685118</v>
      </c>
      <c r="I52" s="358">
        <f t="shared" si="10"/>
        <v>188.9383609685118</v>
      </c>
      <c r="J52" s="358">
        <f t="shared" si="10"/>
        <v>188.9383609685118</v>
      </c>
      <c r="K52" s="358">
        <f t="shared" si="10"/>
        <v>188.9383609685118</v>
      </c>
      <c r="L52" s="358">
        <f t="shared" si="10"/>
        <v>188.9383609685118</v>
      </c>
    </row>
    <row r="53" spans="1:12" ht="22.5" customHeight="1" x14ac:dyDescent="0.3">
      <c r="A53" s="36"/>
      <c r="B53" s="409" t="s">
        <v>81</v>
      </c>
      <c r="C53" s="341" t="s">
        <v>522</v>
      </c>
      <c r="D53" s="410">
        <f>INDEX('Scenario Engine'!$B$20:$D$20,MATCH('Scenario Engine'!$B$3,{"Bull","Base","Bear"},0))</f>
        <v>40</v>
      </c>
      <c r="E53" s="410">
        <f>INDEX('Scenario Engine'!$B$20:$D$20,MATCH('Scenario Engine'!$B$3,{"Bull","Base","Bear"},0))</f>
        <v>40</v>
      </c>
      <c r="F53" s="410">
        <f>INDEX('Scenario Engine'!$B$20:$D$20,MATCH('Scenario Engine'!$B$3,{"Bull","Base","Bear"},0))</f>
        <v>40</v>
      </c>
      <c r="G53" s="410">
        <f>INDEX('Scenario Engine'!$B$20:$D$20,MATCH('Scenario Engine'!$B$3,{"Bull","Base","Bear"},0))</f>
        <v>40</v>
      </c>
      <c r="H53" s="411">
        <f>INDEX('Scenario Engine'!$B$20:$D$20,MATCH('Scenario Engine'!$B$3,{"Bull","Base","Bear"},0))</f>
        <v>40</v>
      </c>
      <c r="I53" s="411">
        <f>INDEX('Scenario Engine'!$B$20:$D$20,MATCH('Scenario Engine'!$B$3,{"Bull","Base","Bear"},0))</f>
        <v>40</v>
      </c>
      <c r="J53" s="411">
        <f>INDEX('Scenario Engine'!$B$20:$D$20,MATCH('Scenario Engine'!$B$3,{"Bull","Base","Bear"},0))</f>
        <v>40</v>
      </c>
      <c r="K53" s="411">
        <f>INDEX('Scenario Engine'!$B$20:$D$20,MATCH('Scenario Engine'!$B$3,{"Bull","Base","Bear"},0))</f>
        <v>40</v>
      </c>
      <c r="L53" s="411">
        <f>INDEX('Scenario Engine'!$B$20:$D$20,MATCH('Scenario Engine'!$B$3,{"Bull","Base","Bear"},0))</f>
        <v>40</v>
      </c>
    </row>
    <row r="54" spans="1:12" ht="14.25" customHeight="1" x14ac:dyDescent="0.3">
      <c r="A54" s="36"/>
      <c r="B54" s="344" t="s">
        <v>523</v>
      </c>
      <c r="C54" s="359" t="s">
        <v>524</v>
      </c>
      <c r="D54" s="357">
        <f t="shared" ref="D54:L54" si="11">(D14/365)*D53</f>
        <v>148.81601895777416</v>
      </c>
      <c r="E54" s="357">
        <f t="shared" si="11"/>
        <v>175.80030488684986</v>
      </c>
      <c r="F54" s="357">
        <f t="shared" si="11"/>
        <v>189.90082062728345</v>
      </c>
      <c r="G54" s="357">
        <f t="shared" si="11"/>
        <v>189.41959079789765</v>
      </c>
      <c r="H54" s="358">
        <f t="shared" si="11"/>
        <v>188.9383609685118</v>
      </c>
      <c r="I54" s="358">
        <f t="shared" si="11"/>
        <v>188.9383609685118</v>
      </c>
      <c r="J54" s="358">
        <f t="shared" si="11"/>
        <v>188.9383609685118</v>
      </c>
      <c r="K54" s="358">
        <f t="shared" si="11"/>
        <v>188.9383609685118</v>
      </c>
      <c r="L54" s="358">
        <f t="shared" si="11"/>
        <v>188.9383609685118</v>
      </c>
    </row>
    <row r="55" spans="1:12" ht="14.25" customHeight="1" x14ac:dyDescent="0.3">
      <c r="A55" s="36"/>
      <c r="B55" s="344" t="s">
        <v>525</v>
      </c>
      <c r="C55" s="359" t="s">
        <v>526</v>
      </c>
      <c r="D55" s="412">
        <f t="shared" ref="D55:L55" si="12">D49+D51-D53</f>
        <v>40</v>
      </c>
      <c r="E55" s="412">
        <f t="shared" si="12"/>
        <v>37</v>
      </c>
      <c r="F55" s="412">
        <f t="shared" si="12"/>
        <v>34</v>
      </c>
      <c r="G55" s="412">
        <f t="shared" si="12"/>
        <v>32</v>
      </c>
      <c r="H55" s="413">
        <f t="shared" si="12"/>
        <v>31</v>
      </c>
      <c r="I55" s="413">
        <f t="shared" si="12"/>
        <v>31</v>
      </c>
      <c r="J55" s="413">
        <f t="shared" si="12"/>
        <v>31</v>
      </c>
      <c r="K55" s="413">
        <f t="shared" si="12"/>
        <v>31</v>
      </c>
      <c r="L55" s="413">
        <f t="shared" si="12"/>
        <v>31</v>
      </c>
    </row>
    <row r="56" spans="1:12" ht="14.25" customHeight="1" x14ac:dyDescent="0.3">
      <c r="A56" s="36"/>
      <c r="B56" s="882" t="s">
        <v>1387</v>
      </c>
      <c r="C56" s="353" t="s">
        <v>1388</v>
      </c>
      <c r="D56" s="883">
        <v>2.5000000000000001E-2</v>
      </c>
      <c r="E56" s="354"/>
      <c r="F56" s="354"/>
      <c r="G56" s="354"/>
      <c r="H56" s="355"/>
      <c r="I56" s="355"/>
      <c r="J56" s="355"/>
      <c r="K56" s="355"/>
      <c r="L56" s="355"/>
    </row>
    <row r="57" spans="1:12" ht="27.75" customHeight="1" thickBot="1" x14ac:dyDescent="0.35">
      <c r="A57" s="330"/>
      <c r="B57" s="331" t="s">
        <v>527</v>
      </c>
      <c r="C57" s="332"/>
      <c r="D57" s="333"/>
      <c r="E57" s="333"/>
      <c r="F57" s="333"/>
      <c r="G57" s="333"/>
      <c r="H57" s="334"/>
      <c r="I57" s="334"/>
      <c r="J57" s="334"/>
      <c r="K57" s="334"/>
      <c r="L57" s="334"/>
    </row>
    <row r="58" spans="1:12" ht="22.5" customHeight="1" x14ac:dyDescent="0.3">
      <c r="A58" s="36"/>
      <c r="B58" s="408" t="s">
        <v>528</v>
      </c>
      <c r="C58" s="356" t="s">
        <v>529</v>
      </c>
      <c r="D58" s="884">
        <f t="shared" ref="D58:L58" si="13">$D$56*D63</f>
        <v>22.35125</v>
      </c>
      <c r="E58" s="884">
        <f t="shared" si="13"/>
        <v>22.910031250000003</v>
      </c>
      <c r="F58" s="884">
        <f t="shared" si="13"/>
        <v>23.48278203125</v>
      </c>
      <c r="G58" s="884">
        <f t="shared" si="13"/>
        <v>24.069851582031252</v>
      </c>
      <c r="H58" s="885">
        <f t="shared" si="13"/>
        <v>24.671597871582033</v>
      </c>
      <c r="I58" s="885">
        <f t="shared" si="13"/>
        <v>25.288387818371582</v>
      </c>
      <c r="J58" s="885">
        <f t="shared" si="13"/>
        <v>25.92059751383087</v>
      </c>
      <c r="K58" s="885">
        <f t="shared" si="13"/>
        <v>26.568612451676643</v>
      </c>
      <c r="L58" s="885">
        <f t="shared" si="13"/>
        <v>27.232827762968562</v>
      </c>
    </row>
    <row r="59" spans="1:12" ht="22.5" customHeight="1" x14ac:dyDescent="0.3">
      <c r="A59" s="36"/>
      <c r="B59" s="409" t="s">
        <v>530</v>
      </c>
      <c r="C59" s="360" t="s">
        <v>531</v>
      </c>
      <c r="D59" s="414">
        <v>0</v>
      </c>
      <c r="E59" s="414">
        <v>0</v>
      </c>
      <c r="F59" s="414">
        <v>0</v>
      </c>
      <c r="G59" s="414">
        <v>0</v>
      </c>
      <c r="H59" s="415">
        <v>0</v>
      </c>
      <c r="I59" s="415">
        <v>0</v>
      </c>
      <c r="J59" s="415">
        <v>0</v>
      </c>
      <c r="K59" s="415">
        <v>0</v>
      </c>
      <c r="L59" s="415">
        <v>0</v>
      </c>
    </row>
    <row r="60" spans="1:12" ht="14.25" customHeight="1" x14ac:dyDescent="0.3">
      <c r="A60" s="36"/>
      <c r="B60" s="344" t="s">
        <v>532</v>
      </c>
      <c r="C60" s="359" t="s">
        <v>533</v>
      </c>
      <c r="D60" s="357">
        <f t="shared" ref="D60:L60" si="14">D58+D59</f>
        <v>22.35125</v>
      </c>
      <c r="E60" s="357">
        <f t="shared" si="14"/>
        <v>22.910031250000003</v>
      </c>
      <c r="F60" s="357">
        <f t="shared" si="14"/>
        <v>23.48278203125</v>
      </c>
      <c r="G60" s="357">
        <f t="shared" si="14"/>
        <v>24.069851582031252</v>
      </c>
      <c r="H60" s="358">
        <f t="shared" si="14"/>
        <v>24.671597871582033</v>
      </c>
      <c r="I60" s="358">
        <f t="shared" si="14"/>
        <v>25.288387818371582</v>
      </c>
      <c r="J60" s="358">
        <f t="shared" si="14"/>
        <v>25.92059751383087</v>
      </c>
      <c r="K60" s="358">
        <f t="shared" si="14"/>
        <v>26.568612451676643</v>
      </c>
      <c r="L60" s="358">
        <f t="shared" si="14"/>
        <v>27.232827762968562</v>
      </c>
    </row>
    <row r="61" spans="1:12" ht="14.25" customHeight="1" x14ac:dyDescent="0.3">
      <c r="A61" s="36"/>
      <c r="B61" s="416"/>
      <c r="C61" s="417"/>
      <c r="D61" s="418"/>
      <c r="E61" s="418"/>
      <c r="F61" s="418"/>
      <c r="G61" s="418"/>
      <c r="H61" s="419"/>
      <c r="I61" s="419"/>
      <c r="J61" s="419"/>
      <c r="K61" s="419"/>
      <c r="L61" s="419"/>
    </row>
    <row r="62" spans="1:12" ht="22.5" customHeight="1" x14ac:dyDescent="0.3">
      <c r="A62" s="36"/>
      <c r="B62" s="409" t="s">
        <v>534</v>
      </c>
      <c r="C62" s="360" t="s">
        <v>535</v>
      </c>
      <c r="D62" s="420">
        <v>0.05</v>
      </c>
      <c r="E62" s="420">
        <v>0.05</v>
      </c>
      <c r="F62" s="420">
        <v>0.05</v>
      </c>
      <c r="G62" s="420">
        <v>0.05</v>
      </c>
      <c r="H62" s="421">
        <v>0.05</v>
      </c>
      <c r="I62" s="421">
        <v>0.05</v>
      </c>
      <c r="J62" s="421">
        <v>0.05</v>
      </c>
      <c r="K62" s="421">
        <v>0.05</v>
      </c>
      <c r="L62" s="421">
        <v>0.05</v>
      </c>
    </row>
    <row r="63" spans="1:12" ht="22.5" customHeight="1" x14ac:dyDescent="0.3">
      <c r="A63" s="36"/>
      <c r="B63" s="409" t="s">
        <v>536</v>
      </c>
      <c r="C63" s="360" t="s">
        <v>537</v>
      </c>
      <c r="D63" s="422">
        <v>894.05</v>
      </c>
      <c r="E63" s="423">
        <f t="shared" ref="E63:L63" si="15">D64</f>
        <v>916.40125</v>
      </c>
      <c r="F63" s="423">
        <f t="shared" si="15"/>
        <v>939.31128124999998</v>
      </c>
      <c r="G63" s="423">
        <f t="shared" si="15"/>
        <v>962.79406328125003</v>
      </c>
      <c r="H63" s="424">
        <f t="shared" si="15"/>
        <v>986.86391486328125</v>
      </c>
      <c r="I63" s="424">
        <f t="shared" si="15"/>
        <v>1011.5355127348632</v>
      </c>
      <c r="J63" s="424">
        <f t="shared" si="15"/>
        <v>1036.8239005532348</v>
      </c>
      <c r="K63" s="424">
        <f t="shared" si="15"/>
        <v>1062.7444980670657</v>
      </c>
      <c r="L63" s="424">
        <f t="shared" si="15"/>
        <v>1089.3131105187424</v>
      </c>
    </row>
    <row r="64" spans="1:12" ht="14.25" customHeight="1" x14ac:dyDescent="0.3">
      <c r="A64" s="36"/>
      <c r="B64" s="344" t="s">
        <v>538</v>
      </c>
      <c r="C64" s="359" t="s">
        <v>539</v>
      </c>
      <c r="D64" s="357">
        <f t="shared" ref="D64:L64" si="16">D63+D60</f>
        <v>916.40125</v>
      </c>
      <c r="E64" s="357">
        <f t="shared" si="16"/>
        <v>939.31128124999998</v>
      </c>
      <c r="F64" s="357">
        <f t="shared" si="16"/>
        <v>962.79406328125003</v>
      </c>
      <c r="G64" s="357">
        <f t="shared" si="16"/>
        <v>986.86391486328125</v>
      </c>
      <c r="H64" s="358">
        <f t="shared" si="16"/>
        <v>1011.5355127348632</v>
      </c>
      <c r="I64" s="358">
        <f t="shared" si="16"/>
        <v>1036.8239005532348</v>
      </c>
      <c r="J64" s="358">
        <f t="shared" si="16"/>
        <v>1062.7444980670657</v>
      </c>
      <c r="K64" s="358">
        <f t="shared" si="16"/>
        <v>1089.3131105187424</v>
      </c>
      <c r="L64" s="358">
        <f t="shared" si="16"/>
        <v>1116.545938281711</v>
      </c>
    </row>
    <row r="65" spans="1:12" ht="22.5" customHeight="1" x14ac:dyDescent="0.3">
      <c r="A65" s="36"/>
      <c r="B65" s="344" t="s">
        <v>540</v>
      </c>
      <c r="C65" s="345" t="s">
        <v>541</v>
      </c>
      <c r="D65" s="350">
        <f>'Depreciation Schedule'!D21</f>
        <v>44.520560000000003</v>
      </c>
      <c r="E65" s="350">
        <f>'Depreciation Schedule'!E21</f>
        <v>45.715457825000001</v>
      </c>
      <c r="F65" s="350">
        <f>'Depreciation Schedule'!F21</f>
        <v>46.940228095625002</v>
      </c>
      <c r="G65" s="350">
        <f>'Depreciation Schedule'!G21</f>
        <v>48.195617623015636</v>
      </c>
      <c r="H65" s="351">
        <f>'Depreciation Schedule'!H21</f>
        <v>49.48239188859101</v>
      </c>
      <c r="I65" s="351">
        <f>'Depreciation Schedule'!I21</f>
        <v>50.801335510805785</v>
      </c>
      <c r="J65" s="351">
        <f>'Depreciation Schedule'!J21</f>
        <v>52.153252723575932</v>
      </c>
      <c r="K65" s="351">
        <f>'Depreciation Schedule'!K21</f>
        <v>53.538967866665331</v>
      </c>
      <c r="L65" s="351">
        <f>'Depreciation Schedule'!L21</f>
        <v>54.959325888331975</v>
      </c>
    </row>
    <row r="66" spans="1:12" ht="14.25" customHeight="1" x14ac:dyDescent="0.3">
      <c r="A66" s="36"/>
      <c r="B66" s="352"/>
      <c r="C66" s="353"/>
      <c r="D66" s="354"/>
      <c r="E66" s="354"/>
      <c r="F66" s="354"/>
      <c r="G66" s="354"/>
      <c r="H66" s="355"/>
      <c r="I66" s="355"/>
      <c r="J66" s="355"/>
      <c r="K66" s="355"/>
      <c r="L66" s="355"/>
    </row>
    <row r="67" spans="1:12" ht="27.75" customHeight="1" thickBot="1" x14ac:dyDescent="0.35">
      <c r="A67" s="330"/>
      <c r="B67" s="331" t="s">
        <v>542</v>
      </c>
      <c r="C67" s="332"/>
      <c r="D67" s="333"/>
      <c r="E67" s="333"/>
      <c r="F67" s="333"/>
      <c r="G67" s="333"/>
      <c r="H67" s="334"/>
      <c r="I67" s="334"/>
      <c r="J67" s="334"/>
      <c r="K67" s="334"/>
      <c r="L67" s="334"/>
    </row>
    <row r="68" spans="1:12" ht="22.5" customHeight="1" x14ac:dyDescent="0.3">
      <c r="A68" s="36"/>
      <c r="B68" s="408" t="s">
        <v>543</v>
      </c>
      <c r="C68" s="356" t="s">
        <v>544</v>
      </c>
      <c r="D68" s="425">
        <f>'Debt Schedule'!D6</f>
        <v>324.01</v>
      </c>
      <c r="E68" s="425">
        <f>'Debt Schedule'!E6</f>
        <v>285.07</v>
      </c>
      <c r="F68" s="425">
        <f>'Debt Schedule'!F6</f>
        <v>431.29999999999995</v>
      </c>
      <c r="G68" s="425">
        <f>'Debt Schedule'!G6</f>
        <v>396.9</v>
      </c>
      <c r="H68" s="426">
        <f>'Debt Schedule'!H6</f>
        <v>351.79999999999995</v>
      </c>
      <c r="I68" s="426">
        <f>'Debt Schedule'!I6</f>
        <v>306.49999999999994</v>
      </c>
      <c r="J68" s="426">
        <f>'Debt Schedule'!J6</f>
        <v>261.49999999999994</v>
      </c>
      <c r="K68" s="426">
        <f>'Debt Schedule'!K6</f>
        <v>216.49999999999994</v>
      </c>
      <c r="L68" s="426">
        <f>'Debt Schedule'!L6</f>
        <v>171.49999999999994</v>
      </c>
    </row>
    <row r="69" spans="1:12" ht="22.5" customHeight="1" x14ac:dyDescent="0.3">
      <c r="A69" s="36"/>
      <c r="B69" s="409" t="s">
        <v>545</v>
      </c>
      <c r="C69" s="341" t="s">
        <v>546</v>
      </c>
      <c r="D69" s="427">
        <f>'Debt Schedule'!D7</f>
        <v>-38.94</v>
      </c>
      <c r="E69" s="427">
        <f>'Debt Schedule'!E7</f>
        <v>146.22999999999999</v>
      </c>
      <c r="F69" s="427">
        <f>'Debt Schedule'!F7</f>
        <v>-34.4</v>
      </c>
      <c r="G69" s="427">
        <f>'Debt Schedule'!G7</f>
        <v>-45.1</v>
      </c>
      <c r="H69" s="428">
        <f>'Debt Schedule'!H7</f>
        <v>-45.3</v>
      </c>
      <c r="I69" s="428">
        <f>'Debt Schedule'!I7</f>
        <v>-45</v>
      </c>
      <c r="J69" s="428">
        <f>'Debt Schedule'!J7</f>
        <v>-45</v>
      </c>
      <c r="K69" s="428">
        <f>'Debt Schedule'!K7</f>
        <v>-45</v>
      </c>
      <c r="L69" s="428">
        <f>'Debt Schedule'!L7</f>
        <v>-45</v>
      </c>
    </row>
    <row r="70" spans="1:12" ht="14.25" customHeight="1" x14ac:dyDescent="0.3">
      <c r="A70" s="36"/>
      <c r="B70" s="344" t="s">
        <v>547</v>
      </c>
      <c r="C70" s="359" t="s">
        <v>548</v>
      </c>
      <c r="D70" s="350">
        <f>'Debt Schedule'!D8</f>
        <v>285.07</v>
      </c>
      <c r="E70" s="350">
        <f>'Debt Schedule'!E8</f>
        <v>431.29999999999995</v>
      </c>
      <c r="F70" s="350">
        <f>'Debt Schedule'!F8</f>
        <v>396.9</v>
      </c>
      <c r="G70" s="350">
        <f>'Debt Schedule'!G8</f>
        <v>351.79999999999995</v>
      </c>
      <c r="H70" s="351">
        <f>'Debt Schedule'!H8</f>
        <v>306.49999999999994</v>
      </c>
      <c r="I70" s="351">
        <f>'Debt Schedule'!I8</f>
        <v>261.49999999999994</v>
      </c>
      <c r="J70" s="351">
        <f>'Debt Schedule'!J8</f>
        <v>216.49999999999994</v>
      </c>
      <c r="K70" s="351">
        <f>'Debt Schedule'!K8</f>
        <v>171.49999999999994</v>
      </c>
      <c r="L70" s="351">
        <f>'Debt Schedule'!L8</f>
        <v>126.49999999999994</v>
      </c>
    </row>
    <row r="71" spans="1:12" ht="22.5" customHeight="1" x14ac:dyDescent="0.3">
      <c r="A71" s="36"/>
      <c r="B71" s="409" t="s">
        <v>85</v>
      </c>
      <c r="C71" s="360" t="s">
        <v>549</v>
      </c>
      <c r="D71" s="772">
        <f>INDEX('Scenario Engine'!$B$27:$D$27,MATCH('Scenario Engine'!$B$3,{"Bull","Base","Bear"},0))</f>
        <v>0.09</v>
      </c>
      <c r="E71" s="772">
        <f>INDEX('Scenario Engine'!$B$27:$D$27,MATCH('Scenario Engine'!$B$3,{"Bull","Base","Bear"},0))</f>
        <v>0.09</v>
      </c>
      <c r="F71" s="772">
        <f>INDEX('Scenario Engine'!$B$27:$D$27,MATCH('Scenario Engine'!$B$3,{"Bull","Base","Bear"},0))</f>
        <v>0.09</v>
      </c>
      <c r="G71" s="772">
        <f>INDEX('Scenario Engine'!$B$27:$D$27,MATCH('Scenario Engine'!$B$3,{"Bull","Base","Bear"},0))</f>
        <v>0.09</v>
      </c>
      <c r="H71" s="773">
        <f>INDEX('Scenario Engine'!$B$27:$D$27,MATCH('Scenario Engine'!$B$3,{"Bull","Base","Bear"},0))</f>
        <v>0.09</v>
      </c>
      <c r="I71" s="773">
        <f>INDEX('Scenario Engine'!$B$27:$D$27,MATCH('Scenario Engine'!$B$3,{"Bull","Base","Bear"},0))</f>
        <v>0.09</v>
      </c>
      <c r="J71" s="773">
        <f>INDEX('Scenario Engine'!$B$27:$D$27,MATCH('Scenario Engine'!$B$3,{"Bull","Base","Bear"},0))</f>
        <v>0.09</v>
      </c>
      <c r="K71" s="773">
        <f>INDEX('Scenario Engine'!$B$27:$D$27,MATCH('Scenario Engine'!$B$3,{"Bull","Base","Bear"},0))</f>
        <v>0.09</v>
      </c>
      <c r="L71" s="773">
        <f>INDEX('Scenario Engine'!$B$27:$D$27,MATCH('Scenario Engine'!$B$3,{"Bull","Base","Bear"},0))</f>
        <v>0.09</v>
      </c>
    </row>
    <row r="72" spans="1:12" ht="14.25" customHeight="1" x14ac:dyDescent="0.3">
      <c r="A72" s="36"/>
      <c r="B72" s="344" t="s">
        <v>550</v>
      </c>
      <c r="C72" s="429" t="s">
        <v>551</v>
      </c>
      <c r="D72" s="350">
        <f>'Debt Schedule'!D25</f>
        <v>41.511099999999992</v>
      </c>
      <c r="E72" s="350">
        <f ca="1">'Debt Schedule'!E25</f>
        <v>59.353149999999999</v>
      </c>
      <c r="F72" s="350">
        <f ca="1">'Debt Schedule'!F25</f>
        <v>46.324683815052147</v>
      </c>
      <c r="G72" s="350">
        <f ca="1">'Debt Schedule'!G25</f>
        <v>35.335499999999996</v>
      </c>
      <c r="H72" s="351">
        <f ca="1">'Debt Schedule'!H25</f>
        <v>31.123499999999996</v>
      </c>
      <c r="I72" s="351">
        <f ca="1">'Debt Schedule'!I25</f>
        <v>27.059999999999995</v>
      </c>
      <c r="J72" s="351">
        <f ca="1">'Debt Schedule'!J25</f>
        <v>23.009999999999994</v>
      </c>
      <c r="K72" s="351">
        <f ca="1">'Debt Schedule'!K25</f>
        <v>18.959999999999994</v>
      </c>
      <c r="L72" s="351">
        <f ca="1">'Debt Schedule'!L25</f>
        <v>14.909999999999995</v>
      </c>
    </row>
    <row r="73" spans="1:12" ht="14.25" customHeight="1" x14ac:dyDescent="0.3">
      <c r="A73" s="36"/>
      <c r="B73" s="416"/>
      <c r="C73" s="417"/>
      <c r="D73" s="418"/>
      <c r="E73" s="418"/>
      <c r="F73" s="418"/>
      <c r="G73" s="418"/>
      <c r="H73" s="419"/>
      <c r="I73" s="419"/>
      <c r="J73" s="419"/>
      <c r="K73" s="419"/>
      <c r="L73" s="419"/>
    </row>
    <row r="74" spans="1:12" ht="23.25" customHeight="1" thickBot="1" x14ac:dyDescent="0.35">
      <c r="A74" s="36"/>
      <c r="B74" s="430" t="s">
        <v>552</v>
      </c>
      <c r="C74" s="431" t="s">
        <v>553</v>
      </c>
      <c r="D74" s="432">
        <v>0.25169999999999998</v>
      </c>
      <c r="E74" s="880">
        <f t="shared" ref="E74:L74" si="17">$D$74</f>
        <v>0.25169999999999998</v>
      </c>
      <c r="F74" s="880">
        <f t="shared" si="17"/>
        <v>0.25169999999999998</v>
      </c>
      <c r="G74" s="880">
        <f t="shared" si="17"/>
        <v>0.25169999999999998</v>
      </c>
      <c r="H74" s="881">
        <f t="shared" si="17"/>
        <v>0.25169999999999998</v>
      </c>
      <c r="I74" s="881">
        <f t="shared" si="17"/>
        <v>0.25169999999999998</v>
      </c>
      <c r="J74" s="881">
        <f t="shared" si="17"/>
        <v>0.25169999999999998</v>
      </c>
      <c r="K74" s="881">
        <f t="shared" si="17"/>
        <v>0.25169999999999998</v>
      </c>
      <c r="L74" s="881">
        <f t="shared" si="17"/>
        <v>0.25169999999999998</v>
      </c>
    </row>
    <row r="75" spans="1:12" ht="14.25" customHeight="1" x14ac:dyDescent="0.3">
      <c r="A75" s="36"/>
      <c r="B75" s="802" t="s">
        <v>1304</v>
      </c>
      <c r="C75" s="48" t="s">
        <v>1305</v>
      </c>
      <c r="D75" s="803">
        <v>18.7</v>
      </c>
      <c r="E75" s="803">
        <v>27.08</v>
      </c>
      <c r="F75" s="804">
        <v>0</v>
      </c>
      <c r="G75" s="804">
        <v>0</v>
      </c>
      <c r="H75" s="804">
        <v>0</v>
      </c>
      <c r="I75" s="804">
        <v>0</v>
      </c>
      <c r="J75" s="804">
        <v>0</v>
      </c>
      <c r="K75" s="804">
        <v>0</v>
      </c>
      <c r="L75" s="804">
        <v>0</v>
      </c>
    </row>
    <row r="76" spans="1:12" ht="14.25" customHeight="1" x14ac:dyDescent="0.3">
      <c r="A76" s="330"/>
      <c r="B76" s="330" t="s">
        <v>554</v>
      </c>
      <c r="C76" s="330"/>
      <c r="D76" s="330"/>
      <c r="E76" s="330"/>
      <c r="F76" s="330"/>
      <c r="G76" s="330"/>
      <c r="H76" s="330"/>
      <c r="I76" s="330"/>
      <c r="J76" s="330"/>
      <c r="K76" s="330"/>
      <c r="L76" s="330"/>
    </row>
    <row r="77" spans="1:12" ht="14.25" customHeight="1" x14ac:dyDescent="0.3">
      <c r="A77" s="36"/>
      <c r="B77" s="67" t="s">
        <v>555</v>
      </c>
      <c r="C77" s="48"/>
      <c r="D77" s="48"/>
      <c r="E77" s="48"/>
      <c r="F77" s="48"/>
      <c r="G77" s="48"/>
      <c r="H77" s="48"/>
      <c r="I77" s="48"/>
      <c r="J77" s="48"/>
      <c r="K77" s="48"/>
      <c r="L77" s="48"/>
    </row>
    <row r="78" spans="1:12" ht="14.25" customHeight="1" x14ac:dyDescent="0.3">
      <c r="A78" s="36"/>
      <c r="B78" s="68" t="s">
        <v>556</v>
      </c>
      <c r="C78" s="48"/>
      <c r="D78" s="48"/>
      <c r="E78" s="48"/>
      <c r="F78" s="48"/>
      <c r="G78" s="48"/>
      <c r="H78" s="48"/>
      <c r="I78" s="48"/>
      <c r="J78" s="48"/>
      <c r="K78" s="48"/>
      <c r="L78" s="48"/>
    </row>
    <row r="79" spans="1:12" ht="14.25" customHeight="1" x14ac:dyDescent="0.3">
      <c r="A79" s="36"/>
      <c r="B79" s="433" t="s">
        <v>557</v>
      </c>
      <c r="C79" s="48"/>
      <c r="D79" s="48"/>
      <c r="E79" s="48"/>
      <c r="F79" s="48"/>
      <c r="G79" s="48"/>
      <c r="H79" s="48"/>
      <c r="I79" s="48"/>
      <c r="J79" s="48"/>
      <c r="K79" s="48"/>
      <c r="L79" s="48"/>
    </row>
    <row r="80" spans="1:12" ht="14.25" customHeight="1" x14ac:dyDescent="0.3">
      <c r="A80" s="36"/>
      <c r="B80" s="434" t="s">
        <v>558</v>
      </c>
      <c r="C80" s="48"/>
      <c r="D80" s="48"/>
      <c r="E80" s="48"/>
      <c r="F80" s="48"/>
      <c r="G80" s="48"/>
      <c r="H80" s="48"/>
      <c r="I80" s="48"/>
      <c r="J80" s="48"/>
      <c r="K80" s="48"/>
      <c r="L80" s="48"/>
    </row>
    <row r="81" spans="1:12" ht="14.25" customHeight="1" x14ac:dyDescent="0.3">
      <c r="A81" s="36"/>
      <c r="B81" s="48"/>
      <c r="C81" s="48"/>
      <c r="D81" s="48"/>
      <c r="E81" s="48"/>
      <c r="F81" s="48"/>
      <c r="G81" s="48"/>
      <c r="H81" s="48"/>
      <c r="I81" s="48"/>
      <c r="J81" s="48"/>
      <c r="K81" s="48"/>
      <c r="L81" s="48"/>
    </row>
    <row r="82" spans="1:12" ht="14.25" customHeight="1" x14ac:dyDescent="0.3">
      <c r="A82" s="330"/>
      <c r="B82" s="330" t="s">
        <v>559</v>
      </c>
      <c r="C82" s="330"/>
      <c r="D82" s="330"/>
      <c r="E82" s="330"/>
      <c r="F82" s="330"/>
      <c r="G82" s="330"/>
      <c r="H82" s="330"/>
      <c r="I82" s="330"/>
      <c r="J82" s="330"/>
      <c r="K82" s="330"/>
      <c r="L82" s="330"/>
    </row>
    <row r="83" spans="1:12" ht="14.25" customHeight="1" x14ac:dyDescent="0.3">
      <c r="A83" s="36"/>
      <c r="B83" s="48" t="s">
        <v>102</v>
      </c>
      <c r="C83" s="48"/>
      <c r="D83" s="435">
        <f>INDEX('Scenario Engine'!$B$42:$D$42,MATCH('Scenario Engine'!$B$3,{"Bull","Base","Bear"},0))</f>
        <v>429000</v>
      </c>
      <c r="E83" s="435">
        <f>INDEX('Scenario Engine'!$B$42:$D$42,MATCH('Scenario Engine'!$B$3,{"Bull","Base","Bear"},0))</f>
        <v>429000</v>
      </c>
      <c r="F83" s="435">
        <f>INDEX('Scenario Engine'!$B$42:$D$42,MATCH('Scenario Engine'!$B$3,{"Bull","Base","Bear"},0))</f>
        <v>429000</v>
      </c>
      <c r="G83" s="435">
        <f>INDEX('Scenario Engine'!$B$42:$D$42,MATCH('Scenario Engine'!$B$3,{"Bull","Base","Bear"},0))</f>
        <v>429000</v>
      </c>
      <c r="H83" s="435">
        <f>INDEX('Scenario Engine'!$B$42:$D$42,MATCH('Scenario Engine'!$B$3,{"Bull","Base","Bear"},0))</f>
        <v>429000</v>
      </c>
      <c r="I83" s="435">
        <f>INDEX('Scenario Engine'!$B$42:$D$42,MATCH('Scenario Engine'!$B$3,{"Bull","Base","Bear"},0))</f>
        <v>429000</v>
      </c>
      <c r="J83" s="435">
        <f>INDEX('Scenario Engine'!$B$42:$D$42,MATCH('Scenario Engine'!$B$3,{"Bull","Base","Bear"},0))</f>
        <v>429000</v>
      </c>
      <c r="K83" s="435">
        <f>INDEX('Scenario Engine'!$B$42:$D$42,MATCH('Scenario Engine'!$B$3,{"Bull","Base","Bear"},0))</f>
        <v>429000</v>
      </c>
      <c r="L83" s="435">
        <f>INDEX('Scenario Engine'!$B$42:$D$42,MATCH('Scenario Engine'!$B$3,{"Bull","Base","Bear"},0))</f>
        <v>429000</v>
      </c>
    </row>
    <row r="84" spans="1:12" ht="14.25" customHeight="1" x14ac:dyDescent="0.3">
      <c r="A84" s="36"/>
      <c r="B84" s="48" t="s">
        <v>560</v>
      </c>
      <c r="C84" s="48"/>
      <c r="D84" s="435">
        <f>INDEX('Scenario Engine'!$B$44:$D$44,MATCH('Scenario Engine'!$B$3,{"Bull","Base","Bear"},0))</f>
        <v>0.91176599999999997</v>
      </c>
      <c r="E84" s="435">
        <f>INDEX('Scenario Engine'!$B$44:$D$44,MATCH('Scenario Engine'!$B$3,{"Bull","Base","Bear"},0))</f>
        <v>0.91176599999999997</v>
      </c>
      <c r="F84" s="435">
        <f>INDEX('Scenario Engine'!$B$44:$D$44,MATCH('Scenario Engine'!$B$3,{"Bull","Base","Bear"},0))</f>
        <v>0.91176599999999997</v>
      </c>
      <c r="G84" s="435">
        <f>INDEX('Scenario Engine'!$B$44:$D$44,MATCH('Scenario Engine'!$B$3,{"Bull","Base","Bear"},0))</f>
        <v>0.91176599999999997</v>
      </c>
      <c r="H84" s="435">
        <f>INDEX('Scenario Engine'!$B$44:$D$44,MATCH('Scenario Engine'!$B$3,{"Bull","Base","Bear"},0))</f>
        <v>0.91176599999999997</v>
      </c>
      <c r="I84" s="435">
        <f>INDEX('Scenario Engine'!$B$44:$D$44,MATCH('Scenario Engine'!$B$3,{"Bull","Base","Bear"},0))</f>
        <v>0.91176599999999997</v>
      </c>
      <c r="J84" s="435">
        <f>INDEX('Scenario Engine'!$B$44:$D$44,MATCH('Scenario Engine'!$B$3,{"Bull","Base","Bear"},0))</f>
        <v>0.91176599999999997</v>
      </c>
      <c r="K84" s="435">
        <f>INDEX('Scenario Engine'!$B$44:$D$44,MATCH('Scenario Engine'!$B$3,{"Bull","Base","Bear"},0))</f>
        <v>0.91176599999999997</v>
      </c>
      <c r="L84" s="435">
        <f>INDEX('Scenario Engine'!$B$44:$D$44,MATCH('Scenario Engine'!$B$3,{"Bull","Base","Bear"},0))</f>
        <v>0.91176599999999997</v>
      </c>
    </row>
    <row r="85" spans="1:12" ht="14.25" customHeight="1" x14ac:dyDescent="0.3">
      <c r="A85" s="36"/>
      <c r="B85" s="48" t="s">
        <v>561</v>
      </c>
      <c r="C85" s="436" t="s">
        <v>562</v>
      </c>
      <c r="D85" s="437">
        <f t="shared" ref="D85:L85" si="18">D83*D84</f>
        <v>391147.614</v>
      </c>
      <c r="E85" s="437">
        <f t="shared" si="18"/>
        <v>391147.614</v>
      </c>
      <c r="F85" s="437">
        <f t="shared" si="18"/>
        <v>391147.614</v>
      </c>
      <c r="G85" s="437">
        <f t="shared" si="18"/>
        <v>391147.614</v>
      </c>
      <c r="H85" s="437">
        <f t="shared" si="18"/>
        <v>391147.614</v>
      </c>
      <c r="I85" s="437">
        <f t="shared" si="18"/>
        <v>391147.614</v>
      </c>
      <c r="J85" s="437">
        <f t="shared" si="18"/>
        <v>391147.614</v>
      </c>
      <c r="K85" s="437">
        <f t="shared" si="18"/>
        <v>391147.614</v>
      </c>
      <c r="L85" s="437">
        <f t="shared" si="18"/>
        <v>391147.614</v>
      </c>
    </row>
    <row r="86" spans="1:12" ht="14.25" customHeight="1" x14ac:dyDescent="0.3">
      <c r="A86" s="36"/>
      <c r="B86" s="48" t="s">
        <v>104</v>
      </c>
      <c r="C86" s="48"/>
      <c r="D86" s="435">
        <f>INDEX('Scenario Engine'!$B$43:$D$43,MATCH('Scenario Engine'!$B$3,{"Bull","Base","Bear"},0))</f>
        <v>350000</v>
      </c>
      <c r="E86" s="435">
        <f>INDEX('Scenario Engine'!$B$43:$D$43,MATCH('Scenario Engine'!$B$3,{"Bull","Base","Bear"},0))</f>
        <v>350000</v>
      </c>
      <c r="F86" s="435">
        <f>INDEX('Scenario Engine'!$B$43:$D$43,MATCH('Scenario Engine'!$B$3,{"Bull","Base","Bear"},0))</f>
        <v>350000</v>
      </c>
      <c r="G86" s="435">
        <f>INDEX('Scenario Engine'!$B$43:$D$43,MATCH('Scenario Engine'!$B$3,{"Bull","Base","Bear"},0))</f>
        <v>350000</v>
      </c>
      <c r="H86" s="435">
        <f>INDEX('Scenario Engine'!$B$43:$D$43,MATCH('Scenario Engine'!$B$3,{"Bull","Base","Bear"},0))</f>
        <v>350000</v>
      </c>
      <c r="I86" s="435">
        <f>INDEX('Scenario Engine'!$B$43:$D$43,MATCH('Scenario Engine'!$B$3,{"Bull","Base","Bear"},0))</f>
        <v>350000</v>
      </c>
      <c r="J86" s="435">
        <f>INDEX('Scenario Engine'!$B$43:$D$43,MATCH('Scenario Engine'!$B$3,{"Bull","Base","Bear"},0))</f>
        <v>350000</v>
      </c>
      <c r="K86" s="435">
        <f>INDEX('Scenario Engine'!$B$43:$D$43,MATCH('Scenario Engine'!$B$3,{"Bull","Base","Bear"},0))</f>
        <v>350000</v>
      </c>
      <c r="L86" s="435">
        <f>INDEX('Scenario Engine'!$B$43:$D$43,MATCH('Scenario Engine'!$B$3,{"Bull","Base","Bear"},0))</f>
        <v>350000</v>
      </c>
    </row>
    <row r="87" spans="1:12" ht="14.25" customHeight="1" x14ac:dyDescent="0.3">
      <c r="A87" s="36"/>
      <c r="B87" s="48" t="s">
        <v>563</v>
      </c>
      <c r="C87" s="436" t="s">
        <v>564</v>
      </c>
      <c r="D87" s="438">
        <f>INDEX('Scenario Engine'!$B$45:$D$45,MATCH('Scenario Engine'!$B$3,{"Bull","Base","Bear"},0))</f>
        <v>0.35</v>
      </c>
      <c r="E87" s="438">
        <f>INDEX('Scenario Engine'!$B$46:$D$46,MATCH('Scenario Engine'!$B$3,{"Bull","Base","Bear"},0))</f>
        <v>0.7</v>
      </c>
      <c r="F87" s="438">
        <f>INDEX('Scenario Engine'!$B$47:$D$47,MATCH('Scenario Engine'!$B$3,{"Bull","Base","Bear"},0))</f>
        <v>0.8</v>
      </c>
      <c r="G87" s="438">
        <f>INDEX('Scenario Engine'!$B$48:$D$48,MATCH('Scenario Engine'!$B$3,{"Bull","Base","Bear"},0))</f>
        <v>0.8</v>
      </c>
      <c r="H87" s="438">
        <f>INDEX('Scenario Engine'!$B$48:$D$48,MATCH('Scenario Engine'!$B$3,{"Bull","Base","Bear"},0))</f>
        <v>0.8</v>
      </c>
      <c r="I87" s="438">
        <f>H87</f>
        <v>0.8</v>
      </c>
      <c r="J87" s="438">
        <f>I87</f>
        <v>0.8</v>
      </c>
      <c r="K87" s="438">
        <f>J87</f>
        <v>0.8</v>
      </c>
      <c r="L87" s="438">
        <f>K87</f>
        <v>0.8</v>
      </c>
    </row>
    <row r="88" spans="1:12" ht="14.25" customHeight="1" x14ac:dyDescent="0.3">
      <c r="A88" s="36"/>
      <c r="B88" s="48" t="s">
        <v>565</v>
      </c>
      <c r="C88" s="48"/>
      <c r="D88" s="437">
        <f t="shared" ref="D88:L88" si="19">D86*D87</f>
        <v>122499.99999999999</v>
      </c>
      <c r="E88" s="437">
        <f t="shared" si="19"/>
        <v>244999.99999999997</v>
      </c>
      <c r="F88" s="437">
        <f t="shared" si="19"/>
        <v>280000</v>
      </c>
      <c r="G88" s="437">
        <f t="shared" si="19"/>
        <v>280000</v>
      </c>
      <c r="H88" s="437">
        <f t="shared" si="19"/>
        <v>280000</v>
      </c>
      <c r="I88" s="437">
        <f t="shared" si="19"/>
        <v>280000</v>
      </c>
      <c r="J88" s="437">
        <f t="shared" si="19"/>
        <v>280000</v>
      </c>
      <c r="K88" s="437">
        <f t="shared" si="19"/>
        <v>280000</v>
      </c>
      <c r="L88" s="437">
        <f t="shared" si="19"/>
        <v>280000</v>
      </c>
    </row>
    <row r="89" spans="1:12" ht="14.25" customHeight="1" x14ac:dyDescent="0.3">
      <c r="A89" s="36"/>
      <c r="B89" s="48" t="s">
        <v>566</v>
      </c>
      <c r="C89" s="436" t="s">
        <v>567</v>
      </c>
      <c r="D89" s="439">
        <f t="shared" ref="D89:L89" si="20">D85+D88</f>
        <v>513647.614</v>
      </c>
      <c r="E89" s="439">
        <f t="shared" si="20"/>
        <v>636147.61399999994</v>
      </c>
      <c r="F89" s="439">
        <f t="shared" si="20"/>
        <v>671147.61400000006</v>
      </c>
      <c r="G89" s="439">
        <f t="shared" si="20"/>
        <v>671147.61400000006</v>
      </c>
      <c r="H89" s="439">
        <f t="shared" si="20"/>
        <v>671147.61400000006</v>
      </c>
      <c r="I89" s="439">
        <f t="shared" si="20"/>
        <v>671147.61400000006</v>
      </c>
      <c r="J89" s="439">
        <f t="shared" si="20"/>
        <v>671147.61400000006</v>
      </c>
      <c r="K89" s="439">
        <f t="shared" si="20"/>
        <v>671147.61400000006</v>
      </c>
      <c r="L89" s="439">
        <f t="shared" si="20"/>
        <v>671147.61400000006</v>
      </c>
    </row>
    <row r="90" spans="1:12" ht="14.25" customHeight="1" x14ac:dyDescent="0.3">
      <c r="A90" s="36"/>
      <c r="B90" s="48" t="s">
        <v>110</v>
      </c>
      <c r="C90" s="436" t="s">
        <v>568</v>
      </c>
      <c r="D90" s="435">
        <f>INDEX('Scenario Engine'!$B$49:$D$49,MATCH('Scenario Engine'!$B$3,{"Bull","Base","Bear"},0))</f>
        <v>27000</v>
      </c>
      <c r="E90" s="437">
        <f>D90*(1+INDEX('Scenario Engine'!$B$50:$D$50,MATCH('Scenario Engine'!$B$3,{"Bull","Base","Bear"},0)))</f>
        <v>27000</v>
      </c>
      <c r="F90" s="437">
        <f>E90*(1+INDEX('Scenario Engine'!$B$50:$D$50,MATCH('Scenario Engine'!$B$3,{"Bull","Base","Bear"},0)))</f>
        <v>27000</v>
      </c>
      <c r="G90" s="437">
        <f>IF(INDEX('Scenario Engine'!$B$51:$D$51,MATCH('Scenario Engine'!$B$3,{"Bull","Base","Bear"},0))="Y",$F$90,F90*(1+INDEX('Scenario Engine'!$B$50:$D$50,MATCH('Scenario Engine'!$B$3,{"Bull","Base","Bear"},0))))</f>
        <v>27000</v>
      </c>
      <c r="H90" s="437">
        <f>IF(INDEX('Scenario Engine'!$B$51:$D$51,MATCH('Scenario Engine'!$B$3,{"Bull","Base","Bear"},0))="Y",$F$90,G90*(1+INDEX('Scenario Engine'!$B$50:$D$50,MATCH('Scenario Engine'!$B$3,{"Bull","Base","Bear"},0))))</f>
        <v>27000</v>
      </c>
      <c r="I90" s="437">
        <f>IF(INDEX('Scenario Engine'!$B$51:$D$51,MATCH('Scenario Engine'!$B$3,{"Bull","Base","Bear"},0))="Y",$F$90,H90*(1+INDEX('Scenario Engine'!$B$50:$D$50,MATCH('Scenario Engine'!$B$3,{"Bull","Base","Bear"},0))))</f>
        <v>27000</v>
      </c>
      <c r="J90" s="437">
        <f>IF(INDEX('Scenario Engine'!$B$51:$D$51,MATCH('Scenario Engine'!$B$3,{"Bull","Base","Bear"},0))="Y",$F$90,I90*(1+INDEX('Scenario Engine'!$B$50:$D$50,MATCH('Scenario Engine'!$B$3,{"Bull","Base","Bear"},0))))</f>
        <v>27000</v>
      </c>
      <c r="K90" s="437">
        <f>IF(INDEX('Scenario Engine'!$B$51:$D$51,MATCH('Scenario Engine'!$B$3,{"Bull","Base","Bear"},0))="Y",$F$90,J90*(1+INDEX('Scenario Engine'!$B$50:$D$50,MATCH('Scenario Engine'!$B$3,{"Bull","Base","Bear"},0))))</f>
        <v>27000</v>
      </c>
      <c r="L90" s="437">
        <f>IF(INDEX('Scenario Engine'!$B$51:$D$51,MATCH('Scenario Engine'!$B$3,{"Bull","Base","Bear"},0))="Y",$F$90,K90*(1+INDEX('Scenario Engine'!$B$50:$D$50,MATCH('Scenario Engine'!$B$3,{"Bull","Base","Bear"},0))))</f>
        <v>27000</v>
      </c>
    </row>
    <row r="91" spans="1:12" ht="14.25" customHeight="1" x14ac:dyDescent="0.3">
      <c r="A91" s="36"/>
      <c r="B91" s="48" t="s">
        <v>569</v>
      </c>
      <c r="C91" s="436" t="s">
        <v>570</v>
      </c>
      <c r="D91" s="440">
        <f t="shared" ref="D91:L91" si="21">D89*D90/10000000</f>
        <v>1386.8485578</v>
      </c>
      <c r="E91" s="440">
        <f t="shared" si="21"/>
        <v>1717.5985577999998</v>
      </c>
      <c r="F91" s="440">
        <f t="shared" si="21"/>
        <v>1812.0985578</v>
      </c>
      <c r="G91" s="440">
        <f t="shared" si="21"/>
        <v>1812.0985578</v>
      </c>
      <c r="H91" s="440">
        <f t="shared" si="21"/>
        <v>1812.0985578</v>
      </c>
      <c r="I91" s="440">
        <f t="shared" si="21"/>
        <v>1812.0985578</v>
      </c>
      <c r="J91" s="440">
        <f t="shared" si="21"/>
        <v>1812.0985578</v>
      </c>
      <c r="K91" s="440">
        <f t="shared" si="21"/>
        <v>1812.0985578</v>
      </c>
      <c r="L91" s="440">
        <f t="shared" si="21"/>
        <v>1812.0985578</v>
      </c>
    </row>
    <row r="92" spans="1:12" ht="14.25" customHeight="1" x14ac:dyDescent="0.3">
      <c r="A92" s="36"/>
      <c r="B92" s="48" t="s">
        <v>571</v>
      </c>
      <c r="C92" s="48"/>
      <c r="D92" s="435">
        <f>INDEX('Scenario Engine'!$B$52:$D$52,MATCH('Scenario Engine'!$B$3,{"Bull","Base","Bear"},0))</f>
        <v>222</v>
      </c>
      <c r="E92" s="435">
        <f>INDEX('Scenario Engine'!$B$52:$D$52,MATCH('Scenario Engine'!$B$3,{"Bull","Base","Bear"},0))</f>
        <v>222</v>
      </c>
      <c r="F92" s="435">
        <f>INDEX('Scenario Engine'!$B$52:$D$52,MATCH('Scenario Engine'!$B$3,{"Bull","Base","Bear"},0))</f>
        <v>222</v>
      </c>
      <c r="G92" s="435">
        <f>INDEX('Scenario Engine'!$B$52:$D$52,MATCH('Scenario Engine'!$B$3,{"Bull","Base","Bear"},0))</f>
        <v>222</v>
      </c>
      <c r="H92" s="435">
        <f>INDEX('Scenario Engine'!$B$52:$D$52,MATCH('Scenario Engine'!$B$3,{"Bull","Base","Bear"},0))</f>
        <v>222</v>
      </c>
      <c r="I92" s="435">
        <f>INDEX('Scenario Engine'!$B$52:$D$52,MATCH('Scenario Engine'!$B$3,{"Bull","Base","Bear"},0))</f>
        <v>222</v>
      </c>
      <c r="J92" s="435">
        <f>INDEX('Scenario Engine'!$B$52:$D$52,MATCH('Scenario Engine'!$B$3,{"Bull","Base","Bear"},0))</f>
        <v>222</v>
      </c>
      <c r="K92" s="435">
        <f>INDEX('Scenario Engine'!$B$52:$D$52,MATCH('Scenario Engine'!$B$3,{"Bull","Base","Bear"},0))</f>
        <v>222</v>
      </c>
      <c r="L92" s="435">
        <f>INDEX('Scenario Engine'!$B$52:$D$52,MATCH('Scenario Engine'!$B$3,{"Bull","Base","Bear"},0))</f>
        <v>222</v>
      </c>
    </row>
    <row r="93" spans="1:12" ht="14.25" customHeight="1" x14ac:dyDescent="0.3">
      <c r="A93" s="36"/>
      <c r="B93" s="48" t="s">
        <v>572</v>
      </c>
      <c r="C93" s="48"/>
      <c r="D93" s="437">
        <f t="shared" ref="D93:L93" si="22">D89*D92</f>
        <v>114029770.308</v>
      </c>
      <c r="E93" s="437">
        <f t="shared" si="22"/>
        <v>141224770.308</v>
      </c>
      <c r="F93" s="437">
        <f t="shared" si="22"/>
        <v>148994770.30800003</v>
      </c>
      <c r="G93" s="437">
        <f t="shared" si="22"/>
        <v>148994770.30800003</v>
      </c>
      <c r="H93" s="437">
        <f t="shared" si="22"/>
        <v>148994770.30800003</v>
      </c>
      <c r="I93" s="437">
        <f t="shared" si="22"/>
        <v>148994770.30800003</v>
      </c>
      <c r="J93" s="437">
        <f t="shared" si="22"/>
        <v>148994770.30800003</v>
      </c>
      <c r="K93" s="437">
        <f t="shared" si="22"/>
        <v>148994770.30800003</v>
      </c>
      <c r="L93" s="437">
        <f t="shared" si="22"/>
        <v>148994770.30800003</v>
      </c>
    </row>
    <row r="94" spans="1:12" ht="14.25" customHeight="1" x14ac:dyDescent="0.3">
      <c r="A94" s="36"/>
      <c r="B94" s="48" t="s">
        <v>115</v>
      </c>
      <c r="C94" s="48"/>
      <c r="D94" s="72">
        <f>INDEX('Scenario Engine'!$B$53:$D$53,MATCH('Scenario Engine'!$B$3,{"Bull","Base","Bear"},0))</f>
        <v>19.440000000000001</v>
      </c>
      <c r="E94" s="72">
        <f>INDEX('Scenario Engine'!$B$53:$D$53,MATCH('Scenario Engine'!$B$3,{"Bull","Base","Bear"},0))</f>
        <v>19.440000000000001</v>
      </c>
      <c r="F94" s="72">
        <f>INDEX('Scenario Engine'!$B$53:$D$53,MATCH('Scenario Engine'!$B$3,{"Bull","Base","Bear"},0))</f>
        <v>19.440000000000001</v>
      </c>
      <c r="G94" s="72">
        <f>INDEX('Scenario Engine'!$B$53:$D$53,MATCH('Scenario Engine'!$B$3,{"Bull","Base","Bear"},0))</f>
        <v>19.440000000000001</v>
      </c>
      <c r="H94" s="72">
        <f>INDEX('Scenario Engine'!$B$53:$D$53,MATCH('Scenario Engine'!$B$3,{"Bull","Base","Bear"},0))</f>
        <v>19.440000000000001</v>
      </c>
      <c r="I94" s="72">
        <f>INDEX('Scenario Engine'!$B$53:$D$53,MATCH('Scenario Engine'!$B$3,{"Bull","Base","Bear"},0))</f>
        <v>19.440000000000001</v>
      </c>
      <c r="J94" s="72">
        <f>INDEX('Scenario Engine'!$B$53:$D$53,MATCH('Scenario Engine'!$B$3,{"Bull","Base","Bear"},0))</f>
        <v>19.440000000000001</v>
      </c>
      <c r="K94" s="72">
        <f>INDEX('Scenario Engine'!$B$53:$D$53,MATCH('Scenario Engine'!$B$3,{"Bull","Base","Bear"},0))</f>
        <v>19.440000000000001</v>
      </c>
      <c r="L94" s="72">
        <f>INDEX('Scenario Engine'!$B$53:$D$53,MATCH('Scenario Engine'!$B$3,{"Bull","Base","Bear"},0))</f>
        <v>19.440000000000001</v>
      </c>
    </row>
    <row r="95" spans="1:12" ht="14.25" customHeight="1" x14ac:dyDescent="0.3">
      <c r="A95" s="36"/>
      <c r="B95" s="48" t="s">
        <v>573</v>
      </c>
      <c r="C95" s="436" t="s">
        <v>574</v>
      </c>
      <c r="D95" s="440">
        <f t="shared" ref="D95:L95" si="23">D93*D94/10000000</f>
        <v>221.673873478752</v>
      </c>
      <c r="E95" s="440">
        <f t="shared" si="23"/>
        <v>274.54095347875199</v>
      </c>
      <c r="F95" s="440">
        <f t="shared" si="23"/>
        <v>289.64583347875208</v>
      </c>
      <c r="G95" s="440">
        <f t="shared" si="23"/>
        <v>289.64583347875208</v>
      </c>
      <c r="H95" s="440">
        <f t="shared" si="23"/>
        <v>289.64583347875208</v>
      </c>
      <c r="I95" s="440">
        <f t="shared" si="23"/>
        <v>289.64583347875208</v>
      </c>
      <c r="J95" s="440">
        <f t="shared" si="23"/>
        <v>289.64583347875208</v>
      </c>
      <c r="K95" s="440">
        <f t="shared" si="23"/>
        <v>289.64583347875208</v>
      </c>
      <c r="L95" s="440">
        <f t="shared" si="23"/>
        <v>289.64583347875208</v>
      </c>
    </row>
    <row r="96" spans="1:12" ht="14.25" customHeight="1" x14ac:dyDescent="0.3">
      <c r="A96" s="36"/>
      <c r="B96" s="48" t="s">
        <v>575</v>
      </c>
      <c r="C96" s="48"/>
      <c r="D96" s="441">
        <f>INDEX('Scenario Engine'!$B$54:$D$54,MATCH('Scenario Engine'!$B$3,{"Bull","Base","Bear"},0))</f>
        <v>3.78E-2</v>
      </c>
      <c r="E96" s="441">
        <f>INDEX('Scenario Engine'!$B$54:$D$54,MATCH('Scenario Engine'!$B$3,{"Bull","Base","Bear"},0))</f>
        <v>3.78E-2</v>
      </c>
      <c r="F96" s="441">
        <f>INDEX('Scenario Engine'!$B$54:$D$54,MATCH('Scenario Engine'!$B$3,{"Bull","Base","Bear"},0))</f>
        <v>3.78E-2</v>
      </c>
      <c r="G96" s="441">
        <f>INDEX('Scenario Engine'!$B$54:$D$54,MATCH('Scenario Engine'!$B$3,{"Bull","Base","Bear"},0))</f>
        <v>3.78E-2</v>
      </c>
      <c r="H96" s="441">
        <f>INDEX('Scenario Engine'!$B$54:$D$54,MATCH('Scenario Engine'!$B$3,{"Bull","Base","Bear"},0))</f>
        <v>3.78E-2</v>
      </c>
      <c r="I96" s="441">
        <f>INDEX('Scenario Engine'!$B$54:$D$54,MATCH('Scenario Engine'!$B$3,{"Bull","Base","Bear"},0))</f>
        <v>3.78E-2</v>
      </c>
      <c r="J96" s="441">
        <f>INDEX('Scenario Engine'!$B$54:$D$54,MATCH('Scenario Engine'!$B$3,{"Bull","Base","Bear"},0))</f>
        <v>3.78E-2</v>
      </c>
      <c r="K96" s="441">
        <f>INDEX('Scenario Engine'!$B$54:$D$54,MATCH('Scenario Engine'!$B$3,{"Bull","Base","Bear"},0))</f>
        <v>3.78E-2</v>
      </c>
      <c r="L96" s="441">
        <f>INDEX('Scenario Engine'!$B$54:$D$54,MATCH('Scenario Engine'!$B$3,{"Bull","Base","Bear"},0))</f>
        <v>3.78E-2</v>
      </c>
    </row>
    <row r="97" spans="1:12" ht="14.25" customHeight="1" x14ac:dyDescent="0.3">
      <c r="A97" s="36"/>
      <c r="B97" s="48" t="s">
        <v>576</v>
      </c>
      <c r="C97" s="48"/>
      <c r="D97" s="437">
        <f t="shared" ref="D97:L97" si="24">D89*D96</f>
        <v>19415.8798092</v>
      </c>
      <c r="E97" s="437">
        <f t="shared" si="24"/>
        <v>24046.3798092</v>
      </c>
      <c r="F97" s="437">
        <f t="shared" si="24"/>
        <v>25369.379809200003</v>
      </c>
      <c r="G97" s="437">
        <f t="shared" si="24"/>
        <v>25369.379809200003</v>
      </c>
      <c r="H97" s="437">
        <f t="shared" si="24"/>
        <v>25369.379809200003</v>
      </c>
      <c r="I97" s="437">
        <f t="shared" si="24"/>
        <v>25369.379809200003</v>
      </c>
      <c r="J97" s="437">
        <f t="shared" si="24"/>
        <v>25369.379809200003</v>
      </c>
      <c r="K97" s="437">
        <f t="shared" si="24"/>
        <v>25369.379809200003</v>
      </c>
      <c r="L97" s="437">
        <f t="shared" si="24"/>
        <v>25369.379809200003</v>
      </c>
    </row>
    <row r="98" spans="1:12" ht="14.25" customHeight="1" x14ac:dyDescent="0.3">
      <c r="A98" s="36"/>
      <c r="B98" s="48" t="s">
        <v>119</v>
      </c>
      <c r="C98" s="48"/>
      <c r="D98" s="435">
        <f>INDEX('Scenario Engine'!$B$55:$D$55,MATCH('Scenario Engine'!$B$3,{"Bull","Base","Bear"},0))</f>
        <v>37000</v>
      </c>
      <c r="E98" s="435">
        <f>INDEX('Scenario Engine'!$B$55:$D$55,MATCH('Scenario Engine'!$B$3,{"Bull","Base","Bear"},0))</f>
        <v>37000</v>
      </c>
      <c r="F98" s="435">
        <f>INDEX('Scenario Engine'!$B$55:$D$55,MATCH('Scenario Engine'!$B$3,{"Bull","Base","Bear"},0))</f>
        <v>37000</v>
      </c>
      <c r="G98" s="435">
        <f>INDEX('Scenario Engine'!$B$55:$D$55,MATCH('Scenario Engine'!$B$3,{"Bull","Base","Bear"},0))</f>
        <v>37000</v>
      </c>
      <c r="H98" s="435">
        <f>INDEX('Scenario Engine'!$B$55:$D$55,MATCH('Scenario Engine'!$B$3,{"Bull","Base","Bear"},0))</f>
        <v>37000</v>
      </c>
      <c r="I98" s="435">
        <f>INDEX('Scenario Engine'!$B$55:$D$55,MATCH('Scenario Engine'!$B$3,{"Bull","Base","Bear"},0))</f>
        <v>37000</v>
      </c>
      <c r="J98" s="435">
        <f>INDEX('Scenario Engine'!$B$55:$D$55,MATCH('Scenario Engine'!$B$3,{"Bull","Base","Bear"},0))</f>
        <v>37000</v>
      </c>
      <c r="K98" s="435">
        <f>INDEX('Scenario Engine'!$B$55:$D$55,MATCH('Scenario Engine'!$B$3,{"Bull","Base","Bear"},0))</f>
        <v>37000</v>
      </c>
      <c r="L98" s="435">
        <f>INDEX('Scenario Engine'!$B$55:$D$55,MATCH('Scenario Engine'!$B$3,{"Bull","Base","Bear"},0))</f>
        <v>37000</v>
      </c>
    </row>
    <row r="99" spans="1:12" ht="14.25" customHeight="1" x14ac:dyDescent="0.3">
      <c r="A99" s="36"/>
      <c r="B99" s="48" t="s">
        <v>577</v>
      </c>
      <c r="C99" s="48"/>
      <c r="D99" s="440">
        <f t="shared" ref="D99:L99" si="25">D97*D98/10000000</f>
        <v>71.838755294039998</v>
      </c>
      <c r="E99" s="440">
        <f t="shared" si="25"/>
        <v>88.971605294040003</v>
      </c>
      <c r="F99" s="440">
        <f t="shared" si="25"/>
        <v>93.866705294040017</v>
      </c>
      <c r="G99" s="440">
        <f t="shared" si="25"/>
        <v>93.866705294040017</v>
      </c>
      <c r="H99" s="440">
        <f t="shared" si="25"/>
        <v>93.866705294040017</v>
      </c>
      <c r="I99" s="440">
        <f t="shared" si="25"/>
        <v>93.866705294040017</v>
      </c>
      <c r="J99" s="440">
        <f t="shared" si="25"/>
        <v>93.866705294040017</v>
      </c>
      <c r="K99" s="440">
        <f t="shared" si="25"/>
        <v>93.866705294040017</v>
      </c>
      <c r="L99" s="440">
        <f t="shared" si="25"/>
        <v>93.866705294040017</v>
      </c>
    </row>
    <row r="100" spans="1:12" ht="14.25" customHeight="1" x14ac:dyDescent="0.3">
      <c r="A100" s="36"/>
      <c r="B100" s="48" t="s">
        <v>578</v>
      </c>
      <c r="C100" s="436" t="s">
        <v>579</v>
      </c>
      <c r="D100" s="442">
        <f t="shared" ref="D100:L100" si="26">D91+D95+D99</f>
        <v>1680.3611865727921</v>
      </c>
      <c r="E100" s="442">
        <f t="shared" si="26"/>
        <v>2081.1111165727916</v>
      </c>
      <c r="F100" s="442">
        <f t="shared" si="26"/>
        <v>2195.6110965727921</v>
      </c>
      <c r="G100" s="442">
        <f t="shared" si="26"/>
        <v>2195.6110965727921</v>
      </c>
      <c r="H100" s="442">
        <f t="shared" si="26"/>
        <v>2195.6110965727921</v>
      </c>
      <c r="I100" s="442">
        <f t="shared" si="26"/>
        <v>2195.6110965727921</v>
      </c>
      <c r="J100" s="442">
        <f t="shared" si="26"/>
        <v>2195.6110965727921</v>
      </c>
      <c r="K100" s="442">
        <f t="shared" si="26"/>
        <v>2195.6110965727921</v>
      </c>
      <c r="L100" s="442">
        <f t="shared" si="26"/>
        <v>2195.6110965727921</v>
      </c>
    </row>
    <row r="101" spans="1:12" ht="14.25" customHeight="1" x14ac:dyDescent="0.3">
      <c r="A101" s="36"/>
      <c r="B101" s="48"/>
      <c r="C101" s="48"/>
      <c r="D101" s="48"/>
      <c r="E101" s="48"/>
      <c r="F101" s="48"/>
      <c r="G101" s="48"/>
      <c r="H101" s="48"/>
      <c r="I101" s="48"/>
      <c r="J101" s="48"/>
      <c r="K101" s="48"/>
      <c r="L101" s="48"/>
    </row>
    <row r="102" spans="1:12" ht="14.25" customHeight="1" x14ac:dyDescent="0.3">
      <c r="A102" s="36"/>
      <c r="B102" s="160" t="s">
        <v>580</v>
      </c>
      <c r="C102" s="436" t="s">
        <v>581</v>
      </c>
      <c r="D102" s="443">
        <f>INDEX('Scenario Engine'!$B$56:$D$56,MATCH('Scenario Engine'!$B$3,{"Bull","Base","Bear"},0))*D87/0.8</f>
        <v>19.95</v>
      </c>
      <c r="E102" s="443">
        <f>INDEX('Scenario Engine'!$B$56:$D$56,MATCH('Scenario Engine'!$B$3,{"Bull","Base","Bear"},0))*E87/0.8</f>
        <v>39.9</v>
      </c>
      <c r="F102" s="443">
        <f>INDEX('Scenario Engine'!$B$56:$D$56,MATCH('Scenario Engine'!$B$3,{"Bull","Base","Bear"},0))*F87/0.8</f>
        <v>45.6</v>
      </c>
      <c r="G102" s="443">
        <f>INDEX('Scenario Engine'!$B$56:$D$56,MATCH('Scenario Engine'!$B$3,{"Bull","Base","Bear"},0))*G87/0.8</f>
        <v>45.6</v>
      </c>
      <c r="H102" s="443">
        <f>INDEX('Scenario Engine'!$B$56:$D$56,MATCH('Scenario Engine'!$B$3,{"Bull","Base","Bear"},0))*H87/0.8</f>
        <v>45.6</v>
      </c>
      <c r="I102" s="443">
        <f>INDEX('Scenario Engine'!$B$56:$D$56,MATCH('Scenario Engine'!$B$3,{"Bull","Base","Bear"},0))*I87/0.8</f>
        <v>45.6</v>
      </c>
      <c r="J102" s="443">
        <f>INDEX('Scenario Engine'!$B$56:$D$56,MATCH('Scenario Engine'!$B$3,{"Bull","Base","Bear"},0))*J87/0.8</f>
        <v>45.6</v>
      </c>
      <c r="K102" s="443">
        <f>INDEX('Scenario Engine'!$B$56:$D$56,MATCH('Scenario Engine'!$B$3,{"Bull","Base","Bear"},0))*K87/0.8</f>
        <v>45.6</v>
      </c>
      <c r="L102" s="443">
        <f>INDEX('Scenario Engine'!$B$56:$D$56,MATCH('Scenario Engine'!$B$3,{"Bull","Base","Bear"},0))*L87/0.8</f>
        <v>45.6</v>
      </c>
    </row>
    <row r="103" spans="1:12" ht="14.25" customHeight="1" x14ac:dyDescent="0.3">
      <c r="A103" s="36"/>
      <c r="B103" s="48"/>
      <c r="C103" s="48"/>
      <c r="D103" s="48"/>
      <c r="E103" s="48"/>
      <c r="F103" s="48"/>
      <c r="G103" s="48"/>
      <c r="H103" s="48"/>
      <c r="I103" s="48"/>
      <c r="J103" s="48"/>
      <c r="K103" s="48"/>
      <c r="L103" s="48"/>
    </row>
    <row r="104" spans="1:12" ht="14.25" customHeight="1" x14ac:dyDescent="0.3">
      <c r="A104" s="330"/>
      <c r="B104" s="330" t="s">
        <v>582</v>
      </c>
      <c r="C104" s="330"/>
      <c r="D104" s="330"/>
      <c r="E104" s="330"/>
      <c r="F104" s="330"/>
      <c r="G104" s="330"/>
      <c r="H104" s="330"/>
      <c r="I104" s="330"/>
      <c r="J104" s="330"/>
      <c r="K104" s="330"/>
      <c r="L104" s="330"/>
    </row>
    <row r="105" spans="1:12" ht="14.25" customHeight="1" x14ac:dyDescent="0.3">
      <c r="A105" s="36"/>
      <c r="B105" s="58" t="s">
        <v>583</v>
      </c>
      <c r="C105" s="48"/>
      <c r="D105" s="444">
        <f>'Debt Schedule'!D12</f>
        <v>147</v>
      </c>
      <c r="E105" s="444">
        <f>'Debt Schedule'!E12</f>
        <v>260.75</v>
      </c>
      <c r="F105" s="444">
        <f>'Debt Schedule'!F12</f>
        <v>151.80000000000001</v>
      </c>
      <c r="G105" s="444">
        <f>'Debt Schedule'!G12</f>
        <v>4.8000000000000114</v>
      </c>
      <c r="H105" s="800">
        <f>'Debt Schedule'!H12</f>
        <v>1.1546319456101628E-14</v>
      </c>
      <c r="I105" s="800">
        <f>'Debt Schedule'!I12</f>
        <v>1.1546319456101628E-14</v>
      </c>
      <c r="J105" s="800">
        <f>'Debt Schedule'!J12</f>
        <v>1.1546319456101628E-14</v>
      </c>
      <c r="K105" s="800">
        <f>'Debt Schedule'!K12</f>
        <v>1.1546319456101628E-14</v>
      </c>
      <c r="L105" s="800">
        <f>'Debt Schedule'!L12</f>
        <v>1.1546319456101628E-14</v>
      </c>
    </row>
    <row r="106" spans="1:12" ht="14.25" customHeight="1" x14ac:dyDescent="0.3">
      <c r="A106" s="36"/>
      <c r="B106" s="48"/>
      <c r="C106" s="48"/>
      <c r="D106" s="48"/>
      <c r="E106" s="48"/>
      <c r="F106" s="48"/>
      <c r="G106" s="48"/>
      <c r="H106" s="48"/>
      <c r="I106" s="48"/>
      <c r="J106" s="48"/>
      <c r="K106" s="48"/>
      <c r="L106" s="48"/>
    </row>
    <row r="107" spans="1:12" ht="14.25" customHeight="1" x14ac:dyDescent="0.3">
      <c r="A107" s="330"/>
      <c r="B107" s="330" t="s">
        <v>584</v>
      </c>
      <c r="C107" s="330"/>
      <c r="D107" s="330"/>
      <c r="E107" s="330"/>
      <c r="F107" s="330"/>
      <c r="G107" s="330"/>
      <c r="H107" s="330"/>
      <c r="I107" s="330"/>
      <c r="J107" s="330"/>
      <c r="K107" s="330"/>
      <c r="L107" s="330"/>
    </row>
    <row r="108" spans="1:12" ht="14.25" customHeight="1" x14ac:dyDescent="0.3">
      <c r="A108" s="36"/>
      <c r="B108" s="58" t="s">
        <v>585</v>
      </c>
      <c r="C108" s="48"/>
      <c r="D108" s="444">
        <f>'Debt Schedule'!D9</f>
        <v>27.408599999999996</v>
      </c>
      <c r="E108" s="444">
        <f>'Debt Schedule'!E9</f>
        <v>32.236649999999997</v>
      </c>
      <c r="F108" s="444">
        <f>'Debt Schedule'!F9</f>
        <v>37.268999999999998</v>
      </c>
      <c r="G108" s="444">
        <f>'Debt Schedule'!G9</f>
        <v>33.691499999999998</v>
      </c>
      <c r="H108" s="444">
        <f>'Debt Schedule'!H9</f>
        <v>29.623499999999996</v>
      </c>
      <c r="I108" s="444">
        <f>'Debt Schedule'!I9</f>
        <v>25.559999999999995</v>
      </c>
      <c r="J108" s="444">
        <f>'Debt Schedule'!J9</f>
        <v>21.509999999999994</v>
      </c>
      <c r="K108" s="444">
        <f>'Debt Schedule'!K9</f>
        <v>17.459999999999994</v>
      </c>
      <c r="L108" s="444">
        <f>'Debt Schedule'!L9</f>
        <v>13.409999999999995</v>
      </c>
    </row>
    <row r="109" spans="1:12" ht="14.25" customHeight="1" x14ac:dyDescent="0.3">
      <c r="A109" s="36"/>
      <c r="B109" s="58" t="s">
        <v>586</v>
      </c>
      <c r="C109" s="48"/>
      <c r="D109" s="444">
        <f>'Debt Schedule'!D15</f>
        <v>12.2325</v>
      </c>
      <c r="E109" s="444">
        <f>'Debt Schedule'!E15</f>
        <v>12.3765</v>
      </c>
      <c r="F109" s="444">
        <f>'Debt Schedule'!F15</f>
        <v>4.6980000000000004</v>
      </c>
      <c r="G109" s="444">
        <f>'Debt Schedule'!G15</f>
        <v>0.14400000000000068</v>
      </c>
      <c r="H109" s="444">
        <f>'Debt Schedule'!H15</f>
        <v>6.927791673660977E-16</v>
      </c>
      <c r="I109" s="444">
        <f>'Debt Schedule'!I15</f>
        <v>6.927791673660977E-16</v>
      </c>
      <c r="J109" s="444">
        <f>'Debt Schedule'!J15</f>
        <v>6.927791673660977E-16</v>
      </c>
      <c r="K109" s="444">
        <f>'Debt Schedule'!K15</f>
        <v>6.927791673660977E-16</v>
      </c>
      <c r="L109" s="444">
        <f>'Debt Schedule'!L15</f>
        <v>6.927791673660977E-16</v>
      </c>
    </row>
    <row r="110" spans="1:12" ht="14.25" customHeight="1" x14ac:dyDescent="0.3">
      <c r="A110" s="36"/>
      <c r="B110" s="58" t="s">
        <v>587</v>
      </c>
      <c r="C110" s="436" t="s">
        <v>588</v>
      </c>
      <c r="D110" s="444">
        <f>'Debt Schedule'!D19</f>
        <v>0</v>
      </c>
      <c r="E110" s="444">
        <f ca="1">'Debt Schedule'!E19</f>
        <v>2.6999999999999997</v>
      </c>
      <c r="F110" s="444">
        <f ca="1">'Debt Schedule'!F19</f>
        <v>1.5676838150521513</v>
      </c>
      <c r="G110" s="444">
        <f ca="1">'Debt Schedule'!G19</f>
        <v>0</v>
      </c>
      <c r="H110" s="800">
        <f ca="1">'Debt Schedule'!H19</f>
        <v>0</v>
      </c>
      <c r="I110" s="800">
        <f ca="1">'Debt Schedule'!I19</f>
        <v>0</v>
      </c>
      <c r="J110" s="800">
        <f ca="1">'Debt Schedule'!J19</f>
        <v>0</v>
      </c>
      <c r="K110" s="800">
        <f ca="1">'Debt Schedule'!K19</f>
        <v>0</v>
      </c>
      <c r="L110" s="800">
        <f ca="1">'Debt Schedule'!L19</f>
        <v>0</v>
      </c>
    </row>
    <row r="111" spans="1:12" ht="14.25" customHeight="1" x14ac:dyDescent="0.3">
      <c r="A111" s="36"/>
      <c r="B111" s="58" t="s">
        <v>589</v>
      </c>
      <c r="C111" s="436" t="s">
        <v>590</v>
      </c>
      <c r="D111" s="445">
        <v>1.87</v>
      </c>
      <c r="E111" s="445">
        <v>12.04</v>
      </c>
      <c r="F111" s="445">
        <v>2.79</v>
      </c>
      <c r="G111" s="445">
        <v>1.5</v>
      </c>
      <c r="H111" s="445">
        <v>1.5</v>
      </c>
      <c r="I111" s="445">
        <v>1.5</v>
      </c>
      <c r="J111" s="445">
        <v>1.5</v>
      </c>
      <c r="K111" s="445">
        <v>1.5</v>
      </c>
      <c r="L111" s="445">
        <v>1.5</v>
      </c>
    </row>
    <row r="112" spans="1:12" x14ac:dyDescent="0.3">
      <c r="B112" s="330" t="s">
        <v>1346</v>
      </c>
      <c r="C112" s="835"/>
      <c r="D112" s="835"/>
      <c r="E112" s="835"/>
      <c r="F112" s="835"/>
      <c r="G112" s="835"/>
      <c r="H112" s="835"/>
      <c r="I112" s="835"/>
      <c r="J112" s="835"/>
      <c r="K112" s="835"/>
      <c r="L112" s="835"/>
    </row>
    <row r="113" spans="2:4" x14ac:dyDescent="0.3">
      <c r="B113" s="163" t="s">
        <v>1347</v>
      </c>
      <c r="C113" s="836" t="s">
        <v>1348</v>
      </c>
      <c r="D113" s="837">
        <v>25</v>
      </c>
    </row>
    <row r="114" spans="2:4" x14ac:dyDescent="0.3">
      <c r="B114" s="886" t="s">
        <v>1389</v>
      </c>
    </row>
    <row r="115" spans="2:4" x14ac:dyDescent="0.3">
      <c r="B115" t="s">
        <v>1390</v>
      </c>
      <c r="C115" t="s">
        <v>1391</v>
      </c>
      <c r="D115" s="888">
        <v>10.93</v>
      </c>
    </row>
    <row r="116" spans="2:4" x14ac:dyDescent="0.3">
      <c r="B116" t="s">
        <v>1392</v>
      </c>
      <c r="C116" t="s">
        <v>1393</v>
      </c>
      <c r="D116" s="887">
        <v>0.3</v>
      </c>
    </row>
    <row r="117" spans="2:4" x14ac:dyDescent="0.3">
      <c r="B117" t="s">
        <v>1394</v>
      </c>
      <c r="C117" t="s">
        <v>1395</v>
      </c>
      <c r="D117" s="888">
        <v>150</v>
      </c>
    </row>
  </sheetData>
  <mergeCells count="2">
    <mergeCell ref="B1:H1"/>
    <mergeCell ref="B44:L44"/>
  </mergeCells>
  <pageMargins left="0.7" right="0.7" top="0.75" bottom="0.75" header="0.511811023622047" footer="0.511811023622047"/>
  <pageSetup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AD47"/>
  </sheetPr>
  <dimension ref="A1:M111"/>
  <sheetViews>
    <sheetView showGridLines="0" zoomScale="91" zoomScaleNormal="91" workbookViewId="0">
      <pane ySplit="3" topLeftCell="A4" activePane="bottomLeft" state="frozen"/>
      <selection pane="bottomLeft" activeCell="E12" sqref="E12"/>
    </sheetView>
  </sheetViews>
  <sheetFormatPr defaultColWidth="8.6640625" defaultRowHeight="14.4" x14ac:dyDescent="0.3"/>
  <cols>
    <col min="1" max="1" width="51.88671875" customWidth="1"/>
    <col min="2" max="11" width="15.77734375" customWidth="1"/>
  </cols>
  <sheetData>
    <row r="1" spans="1:13" ht="24" customHeight="1" x14ac:dyDescent="0.3">
      <c r="A1" s="904" t="s">
        <v>1297</v>
      </c>
      <c r="B1" s="904"/>
      <c r="C1" s="904"/>
      <c r="D1" s="904"/>
      <c r="E1" s="904"/>
      <c r="F1" s="904"/>
      <c r="G1" s="904"/>
      <c r="H1" s="79"/>
      <c r="I1" s="79"/>
      <c r="J1" s="79"/>
      <c r="K1" s="79"/>
      <c r="M1" s="768"/>
    </row>
    <row r="2" spans="1:13" ht="16.05" customHeight="1" x14ac:dyDescent="0.3">
      <c r="A2" s="905" t="s">
        <v>591</v>
      </c>
      <c r="B2" s="905"/>
      <c r="C2" s="905"/>
      <c r="D2" s="905"/>
      <c r="E2" s="905"/>
      <c r="F2" s="905"/>
      <c r="G2" s="905"/>
      <c r="H2" s="60"/>
      <c r="I2" s="60"/>
      <c r="J2" s="60"/>
      <c r="K2" s="60"/>
      <c r="M2" s="768"/>
    </row>
    <row r="3" spans="1:13" ht="18" customHeight="1" thickBot="1" x14ac:dyDescent="0.35">
      <c r="A3" s="6"/>
      <c r="B3" s="7" t="s">
        <v>144</v>
      </c>
      <c r="C3" s="90" t="s">
        <v>145</v>
      </c>
      <c r="D3" s="7" t="s">
        <v>146</v>
      </c>
      <c r="E3" s="7" t="s">
        <v>147</v>
      </c>
      <c r="F3" s="7" t="s">
        <v>148</v>
      </c>
      <c r="G3" s="7" t="s">
        <v>149</v>
      </c>
      <c r="H3" s="7" t="s">
        <v>1143</v>
      </c>
      <c r="I3" s="7" t="s">
        <v>1144</v>
      </c>
      <c r="J3" s="7" t="s">
        <v>1145</v>
      </c>
      <c r="K3" s="7" t="s">
        <v>1146</v>
      </c>
      <c r="M3" s="768"/>
    </row>
    <row r="4" spans="1:13" ht="18" customHeight="1" x14ac:dyDescent="0.3">
      <c r="A4" s="5"/>
      <c r="B4" s="8"/>
      <c r="C4" s="91"/>
      <c r="D4" s="8"/>
      <c r="E4" s="8"/>
      <c r="F4" s="8"/>
      <c r="G4" s="8"/>
      <c r="H4" s="8"/>
      <c r="I4" s="8"/>
      <c r="J4" s="8"/>
      <c r="K4" s="8"/>
      <c r="M4" s="768"/>
    </row>
    <row r="5" spans="1:13" ht="22.05" customHeight="1" thickBot="1" x14ac:dyDescent="0.35">
      <c r="A5" s="906" t="s">
        <v>592</v>
      </c>
      <c r="B5" s="907"/>
      <c r="C5" s="908"/>
      <c r="D5" s="907"/>
      <c r="E5" s="907"/>
      <c r="F5" s="907"/>
      <c r="G5" s="907"/>
      <c r="H5" s="907"/>
      <c r="I5" s="907"/>
      <c r="J5" s="907"/>
      <c r="K5" s="907"/>
      <c r="M5" s="768"/>
    </row>
    <row r="6" spans="1:13" ht="18" customHeight="1" x14ac:dyDescent="0.3">
      <c r="A6" s="148" t="s">
        <v>215</v>
      </c>
      <c r="B6" s="115">
        <f>'Historical FS'!K5</f>
        <v>1572.8000000000002</v>
      </c>
      <c r="C6" s="116">
        <f>'Historical FS'!L5</f>
        <v>1871.3300000000002</v>
      </c>
      <c r="D6" s="115">
        <f>'Assumptions &amp; Drivers'!E10</f>
        <v>2081.1111165727916</v>
      </c>
      <c r="E6" s="115">
        <f>'Assumptions &amp; Drivers'!F10</f>
        <v>2195.6110965727921</v>
      </c>
      <c r="F6" s="115">
        <f>'Assumptions &amp; Drivers'!G10</f>
        <v>2195.6110965727921</v>
      </c>
      <c r="G6" s="115">
        <f>'Assumptions &amp; Drivers'!H10</f>
        <v>2195.6110965727921</v>
      </c>
      <c r="H6" s="115">
        <f>'Assumptions &amp; Drivers'!I10</f>
        <v>2195.6110965727921</v>
      </c>
      <c r="I6" s="115">
        <f>'Assumptions &amp; Drivers'!J10</f>
        <v>2195.6110965727921</v>
      </c>
      <c r="J6" s="115">
        <f>'Assumptions &amp; Drivers'!K10</f>
        <v>2195.6110965727921</v>
      </c>
      <c r="K6" s="115">
        <f>'Assumptions &amp; Drivers'!L10</f>
        <v>2195.6110965727921</v>
      </c>
      <c r="M6" s="768"/>
    </row>
    <row r="7" spans="1:13" ht="18" customHeight="1" x14ac:dyDescent="0.3">
      <c r="A7" s="152" t="s">
        <v>165</v>
      </c>
      <c r="B7" s="25"/>
      <c r="C7" s="92">
        <f t="shared" ref="C7:K7" si="0">(C6-B6)/B6</f>
        <v>0.18980798575788399</v>
      </c>
      <c r="D7" s="11">
        <f t="shared" si="0"/>
        <v>0.11210268449327027</v>
      </c>
      <c r="E7" s="11">
        <f t="shared" si="0"/>
        <v>5.5018676844396937E-2</v>
      </c>
      <c r="F7" s="11">
        <f t="shared" si="0"/>
        <v>0</v>
      </c>
      <c r="G7" s="11">
        <f t="shared" si="0"/>
        <v>0</v>
      </c>
      <c r="H7" s="11">
        <f t="shared" si="0"/>
        <v>0</v>
      </c>
      <c r="I7" s="11">
        <f t="shared" si="0"/>
        <v>0</v>
      </c>
      <c r="J7" s="11">
        <f t="shared" si="0"/>
        <v>0</v>
      </c>
      <c r="K7" s="11">
        <f t="shared" si="0"/>
        <v>0</v>
      </c>
      <c r="M7" s="768"/>
    </row>
    <row r="8" spans="1:13" ht="18" customHeight="1" x14ac:dyDescent="0.3">
      <c r="A8" s="12"/>
      <c r="B8" s="8"/>
      <c r="C8" s="91"/>
      <c r="D8" s="8"/>
      <c r="E8" s="8"/>
      <c r="F8" s="8"/>
      <c r="G8" s="8"/>
      <c r="H8" s="8"/>
      <c r="I8" s="8"/>
      <c r="J8" s="8"/>
      <c r="K8" s="8"/>
      <c r="M8" s="768"/>
    </row>
    <row r="9" spans="1:13" ht="18" customHeight="1" x14ac:dyDescent="0.3">
      <c r="A9" s="12" t="s">
        <v>593</v>
      </c>
      <c r="B9" s="115">
        <f>'Historical FS'!K8</f>
        <v>1336.5200000000004</v>
      </c>
      <c r="C9" s="116">
        <f>'Historical FS'!L8</f>
        <v>1575.49</v>
      </c>
      <c r="D9" s="115">
        <f>'Assumptions &amp; Drivers'!E14</f>
        <v>1604.1777820925051</v>
      </c>
      <c r="E9" s="115">
        <f>'Assumptions &amp; Drivers'!F14</f>
        <v>1732.8449882239615</v>
      </c>
      <c r="F9" s="115">
        <f>'Assumptions &amp; Drivers'!G14</f>
        <v>1728.453766030816</v>
      </c>
      <c r="G9" s="115">
        <f>'Assumptions &amp; Drivers'!H14</f>
        <v>1724.0625438376703</v>
      </c>
      <c r="H9" s="115">
        <f>'Assumptions &amp; Drivers'!I14</f>
        <v>1724.0625438376703</v>
      </c>
      <c r="I9" s="115">
        <f>'Assumptions &amp; Drivers'!J14</f>
        <v>1724.0625438376703</v>
      </c>
      <c r="J9" s="115">
        <f>'Assumptions &amp; Drivers'!K14</f>
        <v>1724.0625438376703</v>
      </c>
      <c r="K9" s="115">
        <f>'Assumptions &amp; Drivers'!L14</f>
        <v>1724.0625438376703</v>
      </c>
      <c r="M9" s="768"/>
    </row>
    <row r="10" spans="1:13" ht="18" customHeight="1" x14ac:dyDescent="0.3">
      <c r="A10" s="149" t="s">
        <v>224</v>
      </c>
      <c r="B10" s="117">
        <f t="shared" ref="B10:G10" si="1">B6-B9</f>
        <v>236.27999999999975</v>
      </c>
      <c r="C10" s="118">
        <f t="shared" si="1"/>
        <v>295.84000000000015</v>
      </c>
      <c r="D10" s="117">
        <f t="shared" si="1"/>
        <v>476.93333448028648</v>
      </c>
      <c r="E10" s="117">
        <f t="shared" si="1"/>
        <v>462.76610834883058</v>
      </c>
      <c r="F10" s="117">
        <f t="shared" si="1"/>
        <v>467.15733054197608</v>
      </c>
      <c r="G10" s="117">
        <f t="shared" si="1"/>
        <v>471.5485527351218</v>
      </c>
      <c r="H10" s="117">
        <f t="shared" ref="H10:I10" si="2">H6-H9</f>
        <v>471.5485527351218</v>
      </c>
      <c r="I10" s="117">
        <f t="shared" si="2"/>
        <v>471.5485527351218</v>
      </c>
      <c r="J10" s="117">
        <f t="shared" ref="J10:K10" si="3">J6-J9</f>
        <v>471.5485527351218</v>
      </c>
      <c r="K10" s="117">
        <f t="shared" si="3"/>
        <v>471.5485527351218</v>
      </c>
      <c r="M10" s="768"/>
    </row>
    <row r="11" spans="1:13" ht="18" customHeight="1" x14ac:dyDescent="0.3">
      <c r="A11" s="12"/>
      <c r="B11" s="8"/>
      <c r="C11" s="91"/>
      <c r="D11" s="8"/>
      <c r="E11" s="8"/>
      <c r="F11" s="8"/>
      <c r="G11" s="8"/>
      <c r="H11" s="8"/>
      <c r="I11" s="8"/>
      <c r="J11" s="8"/>
      <c r="K11" s="8"/>
      <c r="M11" s="768"/>
    </row>
    <row r="12" spans="1:13" ht="18" customHeight="1" x14ac:dyDescent="0.3">
      <c r="A12" s="12" t="s">
        <v>594</v>
      </c>
      <c r="B12" s="115">
        <f>'Historical FS'!K14</f>
        <v>14.62</v>
      </c>
      <c r="C12" s="116">
        <f>'Historical FS'!L14</f>
        <v>17.850000000000001</v>
      </c>
      <c r="D12" s="115">
        <f>'Assumptions &amp; Drivers'!E18</f>
        <v>19.35433338412696</v>
      </c>
      <c r="E12" s="115">
        <f>'Assumptions &amp; Drivers'!F18</f>
        <v>20.419183198126966</v>
      </c>
      <c r="F12" s="115">
        <f>'Assumptions &amp; Drivers'!G18</f>
        <v>20.419183198126966</v>
      </c>
      <c r="G12" s="115">
        <f>'Assumptions &amp; Drivers'!H18</f>
        <v>20.419183198126966</v>
      </c>
      <c r="H12" s="115">
        <f>'Assumptions &amp; Drivers'!I18</f>
        <v>20.419183198126966</v>
      </c>
      <c r="I12" s="115">
        <f>'Assumptions &amp; Drivers'!J18</f>
        <v>20.419183198126966</v>
      </c>
      <c r="J12" s="115">
        <f>'Assumptions &amp; Drivers'!K18</f>
        <v>20.419183198126966</v>
      </c>
      <c r="K12" s="115">
        <f>'Assumptions &amp; Drivers'!L18</f>
        <v>20.419183198126966</v>
      </c>
    </row>
    <row r="13" spans="1:13" ht="18" customHeight="1" x14ac:dyDescent="0.3">
      <c r="A13" s="12" t="s">
        <v>595</v>
      </c>
      <c r="B13" s="115">
        <f>'Historical FS'!K17</f>
        <v>58.860000000000007</v>
      </c>
      <c r="C13" s="116">
        <f>'Historical FS'!L17</f>
        <v>77.55</v>
      </c>
      <c r="D13" s="115">
        <f>'Assumptions &amp; Drivers'!E20</f>
        <v>77.833555759822417</v>
      </c>
      <c r="E13" s="115">
        <f>'Assumptions &amp; Drivers'!F20</f>
        <v>82.115855011822433</v>
      </c>
      <c r="F13" s="115">
        <f>'Assumptions &amp; Drivers'!G20</f>
        <v>82.115855011822433</v>
      </c>
      <c r="G13" s="115">
        <f>'Assumptions &amp; Drivers'!H20</f>
        <v>82.115855011822433</v>
      </c>
      <c r="H13" s="115">
        <f>'Assumptions &amp; Drivers'!I20</f>
        <v>82.115855011822433</v>
      </c>
      <c r="I13" s="115">
        <f>'Assumptions &amp; Drivers'!J20</f>
        <v>82.115855011822433</v>
      </c>
      <c r="J13" s="115">
        <f>'Assumptions &amp; Drivers'!K20</f>
        <v>82.115855011822433</v>
      </c>
      <c r="K13" s="115">
        <f>'Assumptions &amp; Drivers'!L20</f>
        <v>82.115855011822433</v>
      </c>
      <c r="M13" s="768"/>
    </row>
    <row r="14" spans="1:13" ht="18" customHeight="1" x14ac:dyDescent="0.3">
      <c r="A14" s="12"/>
      <c r="B14" s="8"/>
      <c r="C14" s="91"/>
      <c r="D14" s="8"/>
      <c r="E14" s="8"/>
      <c r="F14" s="8"/>
      <c r="G14" s="8"/>
      <c r="H14" s="8"/>
      <c r="I14" s="8"/>
      <c r="J14" s="8"/>
      <c r="K14" s="8"/>
      <c r="M14" s="769"/>
    </row>
    <row r="15" spans="1:13" ht="18" customHeight="1" x14ac:dyDescent="0.3">
      <c r="A15" s="149" t="s">
        <v>236</v>
      </c>
      <c r="B15" s="119">
        <f t="shared" ref="B15:G15" si="4">B10-B12-B13</f>
        <v>162.79999999999973</v>
      </c>
      <c r="C15" s="120">
        <f t="shared" si="4"/>
        <v>200.44000000000011</v>
      </c>
      <c r="D15" s="119">
        <f t="shared" si="4"/>
        <v>379.74544533633707</v>
      </c>
      <c r="E15" s="119">
        <f t="shared" si="4"/>
        <v>360.23107013888119</v>
      </c>
      <c r="F15" s="119">
        <f t="shared" si="4"/>
        <v>364.62229233202669</v>
      </c>
      <c r="G15" s="119">
        <f t="shared" si="4"/>
        <v>369.01351452517241</v>
      </c>
      <c r="H15" s="119">
        <f t="shared" ref="H15:I15" si="5">H10-H12-H13</f>
        <v>369.01351452517241</v>
      </c>
      <c r="I15" s="119">
        <f t="shared" si="5"/>
        <v>369.01351452517241</v>
      </c>
      <c r="J15" s="119">
        <f t="shared" ref="J15:K15" si="6">J10-J12-J13</f>
        <v>369.01351452517241</v>
      </c>
      <c r="K15" s="119">
        <f t="shared" si="6"/>
        <v>369.01351452517241</v>
      </c>
      <c r="M15" s="768"/>
    </row>
    <row r="16" spans="1:13" ht="18" customHeight="1" x14ac:dyDescent="0.3">
      <c r="A16" s="152" t="s">
        <v>151</v>
      </c>
      <c r="B16" s="11">
        <f t="shared" ref="B16:G16" si="7">B15/B6</f>
        <v>0.10350966429298049</v>
      </c>
      <c r="C16" s="92">
        <f t="shared" si="7"/>
        <v>0.10711098523510022</v>
      </c>
      <c r="D16" s="11">
        <f t="shared" si="7"/>
        <v>0.18247245056367206</v>
      </c>
      <c r="E16" s="11">
        <f t="shared" si="7"/>
        <v>0.16406870538283339</v>
      </c>
      <c r="F16" s="11">
        <f t="shared" si="7"/>
        <v>0.16606870538283336</v>
      </c>
      <c r="G16" s="11">
        <f t="shared" si="7"/>
        <v>0.16806870538283342</v>
      </c>
      <c r="H16" s="11">
        <f t="shared" ref="H16:I16" si="8">H15/H6</f>
        <v>0.16806870538283342</v>
      </c>
      <c r="I16" s="11">
        <f t="shared" si="8"/>
        <v>0.16806870538283342</v>
      </c>
      <c r="J16" s="11">
        <f t="shared" ref="J16:K16" si="9">J15/J6</f>
        <v>0.16806870538283342</v>
      </c>
      <c r="K16" s="11">
        <f t="shared" si="9"/>
        <v>0.16806870538283342</v>
      </c>
    </row>
    <row r="17" spans="1:12" ht="18" customHeight="1" x14ac:dyDescent="0.3">
      <c r="A17" s="12"/>
      <c r="B17" s="8"/>
      <c r="C17" s="91"/>
      <c r="D17" s="8"/>
      <c r="E17" s="8"/>
      <c r="F17" s="8"/>
      <c r="G17" s="8"/>
      <c r="H17" s="8"/>
      <c r="I17" s="8"/>
      <c r="J17" s="8"/>
      <c r="K17" s="8"/>
    </row>
    <row r="18" spans="1:12" ht="18" customHeight="1" x14ac:dyDescent="0.3">
      <c r="A18" s="12" t="s">
        <v>596</v>
      </c>
      <c r="B18" s="115">
        <f>'Historical FS'!K23</f>
        <v>21.11</v>
      </c>
      <c r="C18" s="116">
        <f>'Historical FS'!L23</f>
        <v>30.98</v>
      </c>
      <c r="D18" s="115">
        <f>'Depreciation Schedule'!E21</f>
        <v>45.715457825000001</v>
      </c>
      <c r="E18" s="115">
        <f>'Depreciation Schedule'!F21</f>
        <v>46.940228095625002</v>
      </c>
      <c r="F18" s="115">
        <f>'Depreciation Schedule'!G21</f>
        <v>48.195617623015636</v>
      </c>
      <c r="G18" s="115">
        <f>'Depreciation Schedule'!H21</f>
        <v>49.48239188859101</v>
      </c>
      <c r="H18" s="115">
        <f>'Depreciation Schedule'!I21</f>
        <v>50.801335510805785</v>
      </c>
      <c r="I18" s="115">
        <f>'Depreciation Schedule'!J21</f>
        <v>52.153252723575932</v>
      </c>
      <c r="J18" s="115">
        <f>'Depreciation Schedule'!K21</f>
        <v>53.538967866665331</v>
      </c>
      <c r="K18" s="115">
        <f>'Depreciation Schedule'!L21</f>
        <v>54.959325888331975</v>
      </c>
    </row>
    <row r="19" spans="1:12" ht="18" customHeight="1" x14ac:dyDescent="0.3">
      <c r="A19" s="149" t="s">
        <v>243</v>
      </c>
      <c r="B19" s="119">
        <f t="shared" ref="B19:G19" si="10">B15-B18</f>
        <v>141.68999999999971</v>
      </c>
      <c r="C19" s="120">
        <f t="shared" si="10"/>
        <v>169.46000000000012</v>
      </c>
      <c r="D19" s="119">
        <f t="shared" si="10"/>
        <v>334.02998751133708</v>
      </c>
      <c r="E19" s="119">
        <f t="shared" si="10"/>
        <v>313.29084204325619</v>
      </c>
      <c r="F19" s="119">
        <f t="shared" si="10"/>
        <v>316.42667470901108</v>
      </c>
      <c r="G19" s="119">
        <f t="shared" si="10"/>
        <v>319.53112263658142</v>
      </c>
      <c r="H19" s="119">
        <f t="shared" ref="H19:I19" si="11">H15-H18</f>
        <v>318.2121790143666</v>
      </c>
      <c r="I19" s="119">
        <f t="shared" si="11"/>
        <v>316.86026180159649</v>
      </c>
      <c r="J19" s="119">
        <f t="shared" ref="J19:K19" si="12">J15-J18</f>
        <v>315.47454665850705</v>
      </c>
      <c r="K19" s="119">
        <f t="shared" si="12"/>
        <v>314.05418863684042</v>
      </c>
    </row>
    <row r="20" spans="1:12" ht="18" customHeight="1" x14ac:dyDescent="0.3">
      <c r="A20" s="13" t="s">
        <v>597</v>
      </c>
      <c r="B20" s="889">
        <f>'Income and Expenditure Summary'!K16</f>
        <v>30.03</v>
      </c>
      <c r="C20" s="136">
        <f>'Historical FS'!L32</f>
        <v>18.7</v>
      </c>
      <c r="D20" s="115">
        <f>'Assumptions &amp; Drivers'!E75</f>
        <v>27.08</v>
      </c>
      <c r="E20" s="805">
        <f>'Assumptions &amp; Drivers'!F75</f>
        <v>0</v>
      </c>
      <c r="F20" s="805">
        <f>'Assumptions &amp; Drivers'!G75</f>
        <v>0</v>
      </c>
      <c r="G20" s="805">
        <f>'Assumptions &amp; Drivers'!H75</f>
        <v>0</v>
      </c>
      <c r="H20" s="805">
        <f>'Assumptions &amp; Drivers'!I75</f>
        <v>0</v>
      </c>
      <c r="I20" s="805">
        <f>'Assumptions &amp; Drivers'!J75</f>
        <v>0</v>
      </c>
      <c r="J20" s="805">
        <f>'Assumptions &amp; Drivers'!K75</f>
        <v>0</v>
      </c>
      <c r="K20" s="805">
        <f>'Assumptions &amp; Drivers'!L75</f>
        <v>0</v>
      </c>
    </row>
    <row r="21" spans="1:12" ht="18" customHeight="1" x14ac:dyDescent="0.3">
      <c r="A21" s="12" t="s">
        <v>598</v>
      </c>
      <c r="B21" s="115">
        <f>'Historical FS'!K29</f>
        <v>39.86</v>
      </c>
      <c r="C21" s="116">
        <f>'Historical FS'!L29</f>
        <v>33.51</v>
      </c>
      <c r="D21" s="115">
        <f ca="1">'Assumptions &amp; Drivers'!E72</f>
        <v>59.353149999999999</v>
      </c>
      <c r="E21" s="115">
        <f ca="1">'Assumptions &amp; Drivers'!F72</f>
        <v>46.324683815052147</v>
      </c>
      <c r="F21" s="115">
        <f ca="1">'Assumptions &amp; Drivers'!G72</f>
        <v>35.335499999999996</v>
      </c>
      <c r="G21" s="115">
        <f ca="1">'Assumptions &amp; Drivers'!H72</f>
        <v>31.123499999999996</v>
      </c>
      <c r="H21" s="115">
        <f ca="1">'Assumptions &amp; Drivers'!I72</f>
        <v>27.059999999999995</v>
      </c>
      <c r="I21" s="115">
        <f ca="1">'Assumptions &amp; Drivers'!J72</f>
        <v>23.009999999999994</v>
      </c>
      <c r="J21" s="115">
        <f ca="1">'Assumptions &amp; Drivers'!K72</f>
        <v>18.959999999999994</v>
      </c>
      <c r="K21" s="115">
        <f ca="1">'Assumptions &amp; Drivers'!L72</f>
        <v>14.909999999999995</v>
      </c>
    </row>
    <row r="22" spans="1:12" ht="18" customHeight="1" x14ac:dyDescent="0.3">
      <c r="A22" s="12"/>
      <c r="B22" s="8"/>
      <c r="C22" s="91"/>
      <c r="D22" s="8"/>
      <c r="E22" s="8"/>
      <c r="F22" s="8"/>
      <c r="G22" s="8"/>
      <c r="H22" s="8"/>
      <c r="I22" s="8"/>
      <c r="J22" s="8"/>
      <c r="K22" s="8"/>
    </row>
    <row r="23" spans="1:12" ht="18" customHeight="1" x14ac:dyDescent="0.3">
      <c r="A23" s="149" t="s">
        <v>599</v>
      </c>
      <c r="B23" s="124">
        <f t="shared" ref="B23:G23" si="13">B19+B20-B21</f>
        <v>131.85999999999973</v>
      </c>
      <c r="C23" s="125">
        <f t="shared" si="13"/>
        <v>154.65000000000012</v>
      </c>
      <c r="D23" s="124">
        <f t="shared" ca="1" si="13"/>
        <v>301.75683751133704</v>
      </c>
      <c r="E23" s="124">
        <f t="shared" ca="1" si="13"/>
        <v>266.96615822820405</v>
      </c>
      <c r="F23" s="124">
        <f t="shared" ca="1" si="13"/>
        <v>281.09117470901106</v>
      </c>
      <c r="G23" s="124">
        <f t="shared" ca="1" si="13"/>
        <v>288.40762263658144</v>
      </c>
      <c r="H23" s="124">
        <f t="shared" ref="H23:I23" ca="1" si="14">H19+H20-H21</f>
        <v>291.1521790143666</v>
      </c>
      <c r="I23" s="124">
        <f t="shared" ca="1" si="14"/>
        <v>293.8502618015965</v>
      </c>
      <c r="J23" s="124">
        <f t="shared" ref="J23:K23" ca="1" si="15">J19+J20-J21</f>
        <v>296.51454665850707</v>
      </c>
      <c r="K23" s="124">
        <f t="shared" ca="1" si="15"/>
        <v>299.14418863684045</v>
      </c>
    </row>
    <row r="24" spans="1:12" ht="18" customHeight="1" x14ac:dyDescent="0.3">
      <c r="A24" s="12"/>
      <c r="B24" s="8"/>
      <c r="C24" s="91"/>
      <c r="D24" s="8"/>
      <c r="E24" s="8"/>
      <c r="F24" s="8"/>
      <c r="G24" s="8"/>
      <c r="H24" s="8"/>
      <c r="I24" s="8"/>
      <c r="J24" s="8"/>
      <c r="K24" s="8"/>
    </row>
    <row r="25" spans="1:12" ht="18" customHeight="1" x14ac:dyDescent="0.3">
      <c r="A25" s="12" t="s">
        <v>600</v>
      </c>
      <c r="B25" s="115">
        <f>'Historical FS'!K40</f>
        <v>35.97</v>
      </c>
      <c r="C25" s="116">
        <f>'Historical FS'!L40</f>
        <v>40.049999999999997</v>
      </c>
      <c r="D25" s="115">
        <f ca="1">'Tax Working'!E23+'Tax Working'!E29</f>
        <v>75.946160864853297</v>
      </c>
      <c r="E25" s="115">
        <f ca="1">'Tax Working'!F23+'Tax Working'!F29</f>
        <v>67.190042702874408</v>
      </c>
      <c r="F25" s="115">
        <f ca="1">'Tax Working'!G23+'Tax Working'!G29</f>
        <v>70.745026850763921</v>
      </c>
      <c r="G25" s="115">
        <f ca="1">'Tax Working'!H23+'Tax Working'!H29</f>
        <v>72.586430465174828</v>
      </c>
      <c r="H25" s="115">
        <f ca="1">'Tax Working'!I23+'Tax Working'!I29</f>
        <v>73.277180414335803</v>
      </c>
      <c r="I25" s="115">
        <f ca="1">'Tax Working'!J23+'Tax Working'!J29</f>
        <v>73.956233890225803</v>
      </c>
      <c r="J25" s="115">
        <f ca="1">'Tax Working'!K23+'Tax Working'!K29</f>
        <v>74.626781103013073</v>
      </c>
      <c r="K25" s="115">
        <f ca="1">'Tax Working'!L23+'Tax Working'!L29</f>
        <v>75.288609396120009</v>
      </c>
    </row>
    <row r="26" spans="1:12" ht="18" customHeight="1" x14ac:dyDescent="0.3">
      <c r="A26" s="12"/>
      <c r="B26" s="8"/>
      <c r="C26" s="91"/>
      <c r="D26" s="8"/>
      <c r="E26" s="8"/>
      <c r="F26" s="8"/>
      <c r="G26" s="8"/>
      <c r="H26" s="8"/>
      <c r="I26" s="8"/>
      <c r="J26" s="8"/>
      <c r="K26" s="8"/>
    </row>
    <row r="27" spans="1:12" ht="18" customHeight="1" x14ac:dyDescent="0.3">
      <c r="A27" s="150" t="s">
        <v>319</v>
      </c>
      <c r="B27" s="126">
        <f t="shared" ref="B27:G27" si="16">B23-B25</f>
        <v>95.889999999999731</v>
      </c>
      <c r="C27" s="127">
        <f t="shared" si="16"/>
        <v>114.60000000000012</v>
      </c>
      <c r="D27" s="126">
        <f t="shared" ca="1" si="16"/>
        <v>225.81067664648373</v>
      </c>
      <c r="E27" s="126">
        <f t="shared" ca="1" si="16"/>
        <v>199.77611552532966</v>
      </c>
      <c r="F27" s="126">
        <f t="shared" ca="1" si="16"/>
        <v>210.34614785824715</v>
      </c>
      <c r="G27" s="126">
        <f t="shared" ca="1" si="16"/>
        <v>215.82119217140661</v>
      </c>
      <c r="H27" s="126">
        <f t="shared" ref="H27:I27" ca="1" si="17">H23-H25</f>
        <v>217.87499860003078</v>
      </c>
      <c r="I27" s="126">
        <f t="shared" ca="1" si="17"/>
        <v>219.8940279113707</v>
      </c>
      <c r="J27" s="126">
        <f t="shared" ref="J27:K27" ca="1" si="18">J23-J25</f>
        <v>221.88776555549401</v>
      </c>
      <c r="K27" s="126">
        <f t="shared" ca="1" si="18"/>
        <v>223.85557924072043</v>
      </c>
      <c r="L27" s="767"/>
    </row>
    <row r="28" spans="1:12" ht="18" customHeight="1" x14ac:dyDescent="0.3">
      <c r="A28" s="152" t="s">
        <v>601</v>
      </c>
      <c r="B28" s="11">
        <f t="shared" ref="B28:G28" si="19">B27/B6</f>
        <v>6.0967700915564423E-2</v>
      </c>
      <c r="C28" s="92">
        <f t="shared" si="19"/>
        <v>6.123986683268056E-2</v>
      </c>
      <c r="D28" s="11">
        <f t="shared" ca="1" si="19"/>
        <v>0.10850486302641663</v>
      </c>
      <c r="E28" s="11">
        <f t="shared" ca="1" si="19"/>
        <v>9.098884398843099E-2</v>
      </c>
      <c r="F28" s="11">
        <f t="shared" ca="1" si="19"/>
        <v>9.5803008186005248E-2</v>
      </c>
      <c r="G28" s="11">
        <f t="shared" ca="1" si="19"/>
        <v>9.8296639376750108E-2</v>
      </c>
      <c r="H28" s="11">
        <f t="shared" ref="H28:I28" ca="1" si="20">H27/H6</f>
        <v>9.9232053864238362E-2</v>
      </c>
      <c r="I28" s="11">
        <f t="shared" ca="1" si="20"/>
        <v>0.10015162897227617</v>
      </c>
      <c r="J28" s="11">
        <f t="shared" ref="J28:K28" ca="1" si="21">J27/J6</f>
        <v>0.1010596848876591</v>
      </c>
      <c r="K28" s="11">
        <f t="shared" ca="1" si="21"/>
        <v>0.10195593363057083</v>
      </c>
    </row>
    <row r="29" spans="1:12" ht="18" customHeight="1" thickBot="1" x14ac:dyDescent="0.35">
      <c r="A29" s="14"/>
      <c r="B29" s="15"/>
      <c r="C29" s="93"/>
      <c r="D29" s="15"/>
      <c r="E29" s="15"/>
      <c r="F29" s="15"/>
      <c r="G29" s="15"/>
      <c r="H29" s="15"/>
      <c r="I29" s="15"/>
      <c r="J29" s="15"/>
      <c r="K29" s="15"/>
    </row>
    <row r="30" spans="1:12" ht="22.05" customHeight="1" thickBot="1" x14ac:dyDescent="0.35">
      <c r="A30" s="909" t="s">
        <v>602</v>
      </c>
      <c r="B30" s="910"/>
      <c r="C30" s="911"/>
      <c r="D30" s="910"/>
      <c r="E30" s="910"/>
      <c r="F30" s="910"/>
      <c r="G30" s="910"/>
      <c r="H30" s="912"/>
      <c r="I30" s="912"/>
      <c r="J30" s="912"/>
      <c r="K30" s="912"/>
    </row>
    <row r="31" spans="1:12" ht="18" customHeight="1" x14ac:dyDescent="0.3">
      <c r="A31" s="82"/>
      <c r="B31" s="83"/>
      <c r="C31" s="94"/>
      <c r="D31" s="83"/>
      <c r="E31" s="83"/>
      <c r="F31" s="83"/>
      <c r="G31" s="83"/>
      <c r="H31" s="83"/>
      <c r="I31" s="83"/>
      <c r="J31" s="83"/>
      <c r="K31" s="83"/>
    </row>
    <row r="32" spans="1:12" ht="18" customHeight="1" x14ac:dyDescent="0.3">
      <c r="A32" s="145" t="s">
        <v>603</v>
      </c>
      <c r="B32" s="8"/>
      <c r="C32" s="91"/>
      <c r="D32" s="8"/>
      <c r="E32" s="8"/>
      <c r="F32" s="8"/>
      <c r="G32" s="8"/>
      <c r="H32" s="8"/>
      <c r="I32" s="8"/>
      <c r="J32" s="8"/>
      <c r="K32" s="8"/>
    </row>
    <row r="33" spans="1:11" ht="18" customHeight="1" x14ac:dyDescent="0.3">
      <c r="A33" s="84"/>
      <c r="B33" s="85"/>
      <c r="C33" s="95"/>
      <c r="D33" s="85"/>
      <c r="E33" s="85"/>
      <c r="F33" s="85"/>
      <c r="G33" s="85"/>
      <c r="H33" s="85"/>
      <c r="I33" s="85"/>
      <c r="J33" s="85"/>
      <c r="K33" s="85"/>
    </row>
    <row r="34" spans="1:11" ht="18" customHeight="1" x14ac:dyDescent="0.3">
      <c r="A34" s="12" t="s">
        <v>271</v>
      </c>
      <c r="B34" s="115">
        <f>'Historical FS'!K53</f>
        <v>141.69</v>
      </c>
      <c r="C34" s="116">
        <f>'Historical FS'!L53</f>
        <v>134.85</v>
      </c>
      <c r="D34" s="128">
        <f t="shared" ref="D34:K34" si="22">C34</f>
        <v>134.85</v>
      </c>
      <c r="E34" s="128">
        <f t="shared" si="22"/>
        <v>134.85</v>
      </c>
      <c r="F34" s="128">
        <f t="shared" si="22"/>
        <v>134.85</v>
      </c>
      <c r="G34" s="128">
        <f t="shared" si="22"/>
        <v>134.85</v>
      </c>
      <c r="H34" s="128">
        <f t="shared" si="22"/>
        <v>134.85</v>
      </c>
      <c r="I34" s="128">
        <f t="shared" si="22"/>
        <v>134.85</v>
      </c>
      <c r="J34" s="128">
        <f t="shared" si="22"/>
        <v>134.85</v>
      </c>
      <c r="K34" s="128">
        <f t="shared" si="22"/>
        <v>134.85</v>
      </c>
    </row>
    <row r="35" spans="1:11" ht="18" customHeight="1" x14ac:dyDescent="0.3">
      <c r="A35" s="12" t="s">
        <v>272</v>
      </c>
      <c r="B35" s="115">
        <f>'Historical FS'!K54</f>
        <v>699.34</v>
      </c>
      <c r="C35" s="116">
        <f>'Historical FS'!L54</f>
        <v>662.75</v>
      </c>
      <c r="D35" s="129">
        <f t="shared" ref="D35:K35" ca="1" si="23">C35+D27+D94</f>
        <v>629.93747365253853</v>
      </c>
      <c r="E35" s="128">
        <f t="shared" ca="1" si="23"/>
        <v>758.85075452026933</v>
      </c>
      <c r="F35" s="128">
        <f t="shared" ca="1" si="23"/>
        <v>895.16305802104239</v>
      </c>
      <c r="G35" s="128">
        <f t="shared" ca="1" si="23"/>
        <v>1035.3078925410271</v>
      </c>
      <c r="H35" s="128">
        <f t="shared" ca="1" si="23"/>
        <v>1176.8903915610485</v>
      </c>
      <c r="I35" s="128">
        <f t="shared" ca="1" si="23"/>
        <v>1319.8862110990081</v>
      </c>
      <c r="J35" s="128">
        <f t="shared" ca="1" si="23"/>
        <v>1464.277646987854</v>
      </c>
      <c r="K35" s="128">
        <f t="shared" ca="1" si="23"/>
        <v>1610.0465524563585</v>
      </c>
    </row>
    <row r="36" spans="1:11" ht="18" customHeight="1" x14ac:dyDescent="0.3">
      <c r="A36" s="149" t="s">
        <v>273</v>
      </c>
      <c r="B36" s="119">
        <f t="shared" ref="B36:G36" si="24">B34+B35</f>
        <v>841.03</v>
      </c>
      <c r="C36" s="120">
        <f t="shared" si="24"/>
        <v>797.6</v>
      </c>
      <c r="D36" s="119">
        <f t="shared" ca="1" si="24"/>
        <v>764.78747365253855</v>
      </c>
      <c r="E36" s="119">
        <f t="shared" ca="1" si="24"/>
        <v>893.70075452026936</v>
      </c>
      <c r="F36" s="119">
        <f t="shared" ca="1" si="24"/>
        <v>1030.0130580210423</v>
      </c>
      <c r="G36" s="119">
        <f t="shared" ca="1" si="24"/>
        <v>1170.157892541027</v>
      </c>
      <c r="H36" s="119">
        <f t="shared" ref="H36:I36" ca="1" si="25">H34+H35</f>
        <v>1311.7403915610485</v>
      </c>
      <c r="I36" s="119">
        <f t="shared" ca="1" si="25"/>
        <v>1454.736211099008</v>
      </c>
      <c r="J36" s="119">
        <f t="shared" ref="J36:K36" ca="1" si="26">J34+J35</f>
        <v>1599.127646987854</v>
      </c>
      <c r="K36" s="119">
        <f t="shared" ca="1" si="26"/>
        <v>1744.8965524563584</v>
      </c>
    </row>
    <row r="37" spans="1:11" ht="18" customHeight="1" x14ac:dyDescent="0.3">
      <c r="A37" s="12"/>
      <c r="B37" s="81"/>
      <c r="C37" s="96"/>
      <c r="D37" s="81"/>
      <c r="E37" s="81"/>
      <c r="F37" s="81"/>
      <c r="G37" s="81"/>
      <c r="H37" s="81"/>
      <c r="I37" s="81"/>
      <c r="J37" s="81"/>
      <c r="K37" s="81"/>
    </row>
    <row r="38" spans="1:11" ht="18" customHeight="1" x14ac:dyDescent="0.3">
      <c r="A38" s="145" t="s">
        <v>275</v>
      </c>
      <c r="B38" s="81"/>
      <c r="C38" s="96"/>
      <c r="D38" s="81"/>
      <c r="E38" s="81"/>
      <c r="F38" s="81"/>
      <c r="G38" s="81"/>
      <c r="H38" s="81"/>
      <c r="I38" s="81"/>
      <c r="J38" s="81"/>
      <c r="K38" s="81"/>
    </row>
    <row r="39" spans="1:11" ht="18" customHeight="1" x14ac:dyDescent="0.3">
      <c r="A39" s="12" t="s">
        <v>604</v>
      </c>
      <c r="B39" s="889">
        <f>'Balance Sheet Summary'!K27</f>
        <v>324.01</v>
      </c>
      <c r="C39" s="116">
        <f>'Balance Sheet Summary'!L27</f>
        <v>436.82</v>
      </c>
      <c r="D39" s="115">
        <f>'Debt Schedule'!E8+('Debt Schedule'!E14-D45)</f>
        <v>431.29999999999995</v>
      </c>
      <c r="E39" s="115">
        <f>'Debt Schedule'!F8+('Debt Schedule'!F14-E45)</f>
        <v>396.9</v>
      </c>
      <c r="F39" s="115">
        <f>'Debt Schedule'!G8+('Debt Schedule'!G14-F45)</f>
        <v>351.79999999999995</v>
      </c>
      <c r="G39" s="115">
        <f>'Debt Schedule'!H8+('Debt Schedule'!H14-G45)</f>
        <v>306.49999999999994</v>
      </c>
      <c r="H39" s="115">
        <f>'Debt Schedule'!I8+('Debt Schedule'!I14-H45)</f>
        <v>261.49999999999994</v>
      </c>
      <c r="I39" s="115">
        <f>'Debt Schedule'!J8+('Debt Schedule'!J14-I45)</f>
        <v>216.49999999999994</v>
      </c>
      <c r="J39" s="115">
        <f>'Debt Schedule'!K8+('Debt Schedule'!K14-J45)</f>
        <v>171.49999999999994</v>
      </c>
      <c r="K39" s="115">
        <f>'Debt Schedule'!L8+('Debt Schedule'!L14-K45)</f>
        <v>126.49999999999994</v>
      </c>
    </row>
    <row r="40" spans="1:11" ht="18" customHeight="1" x14ac:dyDescent="0.3">
      <c r="A40" s="12" t="s">
        <v>277</v>
      </c>
      <c r="B40" s="115">
        <f>'Historical FS'!K61</f>
        <v>66.16</v>
      </c>
      <c r="C40" s="116">
        <f>'Historical FS'!L61</f>
        <v>72.900000000000006</v>
      </c>
      <c r="D40" s="115">
        <f>'Tax Working'!E30</f>
        <v>74.776011902478999</v>
      </c>
      <c r="E40" s="115">
        <f>'Tax Working'!F30</f>
        <v>75.320601709643981</v>
      </c>
      <c r="F40" s="115">
        <f>'Tax Working'!G30</f>
        <v>74.698703246182077</v>
      </c>
      <c r="G40" s="115">
        <f>'Tax Working'!H30</f>
        <v>73.050184546207134</v>
      </c>
      <c r="H40" s="115">
        <f>'Tax Working'!I30</f>
        <v>70.493545201886889</v>
      </c>
      <c r="I40" s="115">
        <f>'Tax Working'!J30</f>
        <v>67.129062984480896</v>
      </c>
      <c r="J40" s="115">
        <f>'Tax Working'!K30</f>
        <v>63.04147190002471</v>
      </c>
      <c r="K40" s="115">
        <f>'Tax Working'!L30</f>
        <v>58.302241560765118</v>
      </c>
    </row>
    <row r="41" spans="1:11" ht="18" customHeight="1" x14ac:dyDescent="0.3">
      <c r="A41" s="12" t="s">
        <v>278</v>
      </c>
      <c r="B41" s="115">
        <f>'Historical FS'!K62</f>
        <v>2.27</v>
      </c>
      <c r="C41" s="116">
        <f>'Historical FS'!L62</f>
        <v>2.5499999999999998</v>
      </c>
      <c r="D41" s="115">
        <f t="shared" ref="D41:K41" si="27">D6*($C$41/$C$6)</f>
        <v>2.8358618454578388</v>
      </c>
      <c r="E41" s="115">
        <f t="shared" si="27"/>
        <v>2.991887211908439</v>
      </c>
      <c r="F41" s="115">
        <f t="shared" si="27"/>
        <v>2.991887211908439</v>
      </c>
      <c r="G41" s="115">
        <f t="shared" si="27"/>
        <v>2.991887211908439</v>
      </c>
      <c r="H41" s="115">
        <f t="shared" si="27"/>
        <v>2.991887211908439</v>
      </c>
      <c r="I41" s="115">
        <f t="shared" si="27"/>
        <v>2.991887211908439</v>
      </c>
      <c r="J41" s="115">
        <f t="shared" si="27"/>
        <v>2.991887211908439</v>
      </c>
      <c r="K41" s="115">
        <f t="shared" si="27"/>
        <v>2.991887211908439</v>
      </c>
    </row>
    <row r="42" spans="1:11" ht="18" customHeight="1" x14ac:dyDescent="0.3">
      <c r="A42" s="149" t="s">
        <v>279</v>
      </c>
      <c r="B42" s="119">
        <f t="shared" ref="B42:G42" si="28">B39+B40+B41</f>
        <v>392.43999999999994</v>
      </c>
      <c r="C42" s="120">
        <f t="shared" si="28"/>
        <v>512.27</v>
      </c>
      <c r="D42" s="119">
        <f t="shared" si="28"/>
        <v>508.9118737479368</v>
      </c>
      <c r="E42" s="119">
        <f t="shared" si="28"/>
        <v>475.21248892155239</v>
      </c>
      <c r="F42" s="119">
        <f t="shared" si="28"/>
        <v>429.49059045809042</v>
      </c>
      <c r="G42" s="119">
        <f t="shared" si="28"/>
        <v>382.54207175811553</v>
      </c>
      <c r="H42" s="119">
        <f t="shared" ref="H42:I42" si="29">H39+H40+H41</f>
        <v>334.98543241379525</v>
      </c>
      <c r="I42" s="119">
        <f t="shared" si="29"/>
        <v>286.62095019638923</v>
      </c>
      <c r="J42" s="119">
        <f t="shared" ref="J42:K42" si="30">J39+J40+J41</f>
        <v>237.53335911193309</v>
      </c>
      <c r="K42" s="119">
        <f t="shared" si="30"/>
        <v>187.7941287726735</v>
      </c>
    </row>
    <row r="43" spans="1:11" ht="18" customHeight="1" x14ac:dyDescent="0.3">
      <c r="A43" s="84"/>
      <c r="B43" s="86"/>
      <c r="C43" s="97"/>
      <c r="D43" s="86"/>
      <c r="E43" s="86"/>
      <c r="F43" s="86"/>
      <c r="G43" s="86"/>
      <c r="H43" s="86"/>
      <c r="I43" s="86"/>
      <c r="J43" s="86"/>
      <c r="K43" s="86"/>
    </row>
    <row r="44" spans="1:11" ht="18" customHeight="1" x14ac:dyDescent="0.3">
      <c r="A44" s="145" t="s">
        <v>281</v>
      </c>
      <c r="B44" s="81"/>
      <c r="C44" s="96"/>
      <c r="D44" s="81"/>
      <c r="E44" s="81"/>
      <c r="F44" s="81"/>
      <c r="G44" s="81"/>
      <c r="H44" s="81"/>
      <c r="I44" s="81"/>
      <c r="J44" s="81"/>
      <c r="K44" s="81"/>
    </row>
    <row r="45" spans="1:11" ht="18" customHeight="1" x14ac:dyDescent="0.3">
      <c r="A45" s="12" t="s">
        <v>282</v>
      </c>
      <c r="B45" s="115">
        <f>'Historical FS'!K67</f>
        <v>0.81</v>
      </c>
      <c r="C45" s="116">
        <f>'Historical FS'!L67</f>
        <v>109</v>
      </c>
      <c r="D45" s="115">
        <f>'Debt Schedule'!E14</f>
        <v>151.80000000000001</v>
      </c>
      <c r="E45" s="115">
        <f>'Debt Schedule'!F14</f>
        <v>4.8000000000000114</v>
      </c>
      <c r="F45" s="801">
        <f>'Debt Schedule'!G14</f>
        <v>1.1546319456101628E-14</v>
      </c>
      <c r="G45" s="801">
        <f>'Debt Schedule'!H14</f>
        <v>1.1546319456101628E-14</v>
      </c>
      <c r="H45" s="801">
        <f>'Debt Schedule'!I14</f>
        <v>1.1546319456101628E-14</v>
      </c>
      <c r="I45" s="801">
        <f>'Debt Schedule'!J14</f>
        <v>1.1546319456101628E-14</v>
      </c>
      <c r="J45" s="801">
        <f>'Debt Schedule'!K14</f>
        <v>1.1546319456101628E-14</v>
      </c>
      <c r="K45" s="801">
        <f>'Debt Schedule'!L14</f>
        <v>1.1546319456101628E-14</v>
      </c>
    </row>
    <row r="46" spans="1:11" ht="18" customHeight="1" x14ac:dyDescent="0.3">
      <c r="A46" s="12" t="s">
        <v>605</v>
      </c>
      <c r="B46" s="115">
        <v>0</v>
      </c>
      <c r="C46" s="122">
        <v>0</v>
      </c>
      <c r="D46" s="137">
        <f t="shared" ref="D46:K46" ca="1" si="31">IF(D100&lt;50,MIN(30,50-D100),0)</f>
        <v>30</v>
      </c>
      <c r="E46" s="137">
        <f t="shared" ca="1" si="31"/>
        <v>17.418709056135015</v>
      </c>
      <c r="F46" s="137">
        <f t="shared" ca="1" si="31"/>
        <v>0</v>
      </c>
      <c r="G46" s="137">
        <f t="shared" ca="1" si="31"/>
        <v>0</v>
      </c>
      <c r="H46" s="137">
        <f t="shared" ca="1" si="31"/>
        <v>0</v>
      </c>
      <c r="I46" s="137">
        <f t="shared" ca="1" si="31"/>
        <v>0</v>
      </c>
      <c r="J46" s="137">
        <f t="shared" ca="1" si="31"/>
        <v>0</v>
      </c>
      <c r="K46" s="137">
        <f t="shared" ca="1" si="31"/>
        <v>0</v>
      </c>
    </row>
    <row r="47" spans="1:11" ht="18" customHeight="1" x14ac:dyDescent="0.3">
      <c r="A47" s="12" t="s">
        <v>283</v>
      </c>
      <c r="B47" s="115">
        <f>'Historical FS'!K68</f>
        <v>620.08000000000004</v>
      </c>
      <c r="C47" s="116">
        <f>'Historical FS'!L68</f>
        <v>369.13</v>
      </c>
      <c r="D47" s="115">
        <f>'Assumptions &amp; Drivers'!E54</f>
        <v>175.80030488684986</v>
      </c>
      <c r="E47" s="115">
        <f>'Assumptions &amp; Drivers'!F54</f>
        <v>189.90082062728345</v>
      </c>
      <c r="F47" s="115">
        <f>'Assumptions &amp; Drivers'!G54</f>
        <v>189.41959079789765</v>
      </c>
      <c r="G47" s="115">
        <f>'Assumptions &amp; Drivers'!H54</f>
        <v>188.9383609685118</v>
      </c>
      <c r="H47" s="115">
        <f>'Assumptions &amp; Drivers'!I54</f>
        <v>188.9383609685118</v>
      </c>
      <c r="I47" s="115">
        <f>'Assumptions &amp; Drivers'!J54</f>
        <v>188.9383609685118</v>
      </c>
      <c r="J47" s="115">
        <f>'Assumptions &amp; Drivers'!K54</f>
        <v>188.9383609685118</v>
      </c>
      <c r="K47" s="115">
        <f>'Assumptions &amp; Drivers'!L54</f>
        <v>188.9383609685118</v>
      </c>
    </row>
    <row r="48" spans="1:11" ht="18" customHeight="1" x14ac:dyDescent="0.3">
      <c r="A48" s="12" t="s">
        <v>1345</v>
      </c>
      <c r="B48" s="889">
        <f>'Historical FS'!K69-'Balance Sheet Summary'!K33</f>
        <v>21.200000000000035</v>
      </c>
      <c r="C48" s="116">
        <f>'Historical FS'!L69-'Balance Sheet Summary'!L33</f>
        <v>89.470000000000027</v>
      </c>
      <c r="D48" s="121">
        <v>89.47</v>
      </c>
      <c r="E48" s="137">
        <f t="shared" ref="E48:K48" si="32">D48</f>
        <v>89.47</v>
      </c>
      <c r="F48" s="137">
        <f t="shared" si="32"/>
        <v>89.47</v>
      </c>
      <c r="G48" s="137">
        <f t="shared" si="32"/>
        <v>89.47</v>
      </c>
      <c r="H48" s="137">
        <f t="shared" si="32"/>
        <v>89.47</v>
      </c>
      <c r="I48" s="137">
        <f t="shared" si="32"/>
        <v>89.47</v>
      </c>
      <c r="J48" s="137">
        <f t="shared" si="32"/>
        <v>89.47</v>
      </c>
      <c r="K48" s="137">
        <f t="shared" si="32"/>
        <v>89.47</v>
      </c>
    </row>
    <row r="49" spans="1:11" ht="18" customHeight="1" x14ac:dyDescent="0.3">
      <c r="A49" s="149" t="s">
        <v>286</v>
      </c>
      <c r="B49" s="119">
        <f t="shared" ref="B49:G49" si="33">B45+B46+B47+B48</f>
        <v>642.09</v>
      </c>
      <c r="C49" s="120">
        <f t="shared" si="33"/>
        <v>567.6</v>
      </c>
      <c r="D49" s="119">
        <f t="shared" ca="1" si="33"/>
        <v>447.07030488684984</v>
      </c>
      <c r="E49" s="119">
        <f t="shared" ca="1" si="33"/>
        <v>301.5895296834185</v>
      </c>
      <c r="F49" s="119">
        <f t="shared" ca="1" si="33"/>
        <v>278.88959079789765</v>
      </c>
      <c r="G49" s="119">
        <f t="shared" ca="1" si="33"/>
        <v>278.40836096851183</v>
      </c>
      <c r="H49" s="119">
        <f ca="1">H45+H46+H47+H48</f>
        <v>278.40836096851183</v>
      </c>
      <c r="I49" s="119">
        <f ca="1">I45+I46+I47+I48</f>
        <v>278.40836096851183</v>
      </c>
      <c r="J49" s="119">
        <f ca="1">J45+J46+J47+J48</f>
        <v>278.40836096851183</v>
      </c>
      <c r="K49" s="119">
        <f ca="1">K45+K46+K47+K48</f>
        <v>278.40836096851183</v>
      </c>
    </row>
    <row r="50" spans="1:11" ht="18" customHeight="1" x14ac:dyDescent="0.3">
      <c r="A50" s="12"/>
      <c r="B50" s="81"/>
      <c r="C50" s="96"/>
      <c r="D50" s="81"/>
      <c r="E50" s="81"/>
      <c r="F50" s="81"/>
      <c r="G50" s="81"/>
      <c r="H50" s="81"/>
      <c r="I50" s="81"/>
      <c r="J50" s="81"/>
      <c r="K50" s="81"/>
    </row>
    <row r="51" spans="1:11" ht="18" customHeight="1" x14ac:dyDescent="0.3">
      <c r="A51" s="146" t="s">
        <v>606</v>
      </c>
      <c r="B51" s="119">
        <f t="shared" ref="B51:G51" si="34">B42+B49</f>
        <v>1034.53</v>
      </c>
      <c r="C51" s="120">
        <f t="shared" si="34"/>
        <v>1079.8699999999999</v>
      </c>
      <c r="D51" s="119">
        <f t="shared" ca="1" si="34"/>
        <v>955.98217863478658</v>
      </c>
      <c r="E51" s="119">
        <f t="shared" ca="1" si="34"/>
        <v>776.80201860497095</v>
      </c>
      <c r="F51" s="119">
        <f t="shared" ca="1" si="34"/>
        <v>708.38018125598808</v>
      </c>
      <c r="G51" s="119">
        <f t="shared" ca="1" si="34"/>
        <v>660.95043272662735</v>
      </c>
      <c r="H51" s="119">
        <f t="shared" ref="H51:I51" ca="1" si="35">H42+H49</f>
        <v>613.39379338230708</v>
      </c>
      <c r="I51" s="119">
        <f t="shared" ca="1" si="35"/>
        <v>565.02931116490106</v>
      </c>
      <c r="J51" s="119">
        <f t="shared" ref="J51:K51" ca="1" si="36">J42+J49</f>
        <v>515.94172008044495</v>
      </c>
      <c r="K51" s="119">
        <f t="shared" ca="1" si="36"/>
        <v>466.20248974118533</v>
      </c>
    </row>
    <row r="52" spans="1:11" ht="18" customHeight="1" x14ac:dyDescent="0.3">
      <c r="A52" s="146" t="s">
        <v>290</v>
      </c>
      <c r="B52" s="119">
        <f t="shared" ref="B52:G52" si="37">B36+B51</f>
        <v>1875.56</v>
      </c>
      <c r="C52" s="120">
        <f t="shared" si="37"/>
        <v>1877.4699999999998</v>
      </c>
      <c r="D52" s="119">
        <f t="shared" ca="1" si="37"/>
        <v>1720.7696522873252</v>
      </c>
      <c r="E52" s="119">
        <f t="shared" ca="1" si="37"/>
        <v>1670.5027731252403</v>
      </c>
      <c r="F52" s="119">
        <f t="shared" ca="1" si="37"/>
        <v>1738.3932392770303</v>
      </c>
      <c r="G52" s="119">
        <f t="shared" ca="1" si="37"/>
        <v>1831.1083252676544</v>
      </c>
      <c r="H52" s="119">
        <f t="shared" ref="H52:I52" ca="1" si="38">H36+H51</f>
        <v>1925.1341849433556</v>
      </c>
      <c r="I52" s="119">
        <f t="shared" ca="1" si="38"/>
        <v>2019.7655222639091</v>
      </c>
      <c r="J52" s="119">
        <f t="shared" ref="J52:K52" ca="1" si="39">J36+J51</f>
        <v>2115.069367068299</v>
      </c>
      <c r="K52" s="119">
        <f t="shared" ca="1" si="39"/>
        <v>2211.0990421975439</v>
      </c>
    </row>
    <row r="53" spans="1:11" ht="18" customHeight="1" x14ac:dyDescent="0.3">
      <c r="A53" s="87"/>
      <c r="B53" s="88"/>
      <c r="C53" s="98"/>
      <c r="D53" s="88"/>
      <c r="E53" s="88"/>
      <c r="F53" s="88"/>
      <c r="G53" s="88"/>
      <c r="H53" s="88"/>
      <c r="I53" s="88"/>
      <c r="J53" s="88"/>
      <c r="K53" s="88"/>
    </row>
    <row r="54" spans="1:11" ht="18" customHeight="1" x14ac:dyDescent="0.3">
      <c r="A54" s="145" t="s">
        <v>607</v>
      </c>
      <c r="B54" s="81"/>
      <c r="C54" s="96"/>
      <c r="D54" s="81"/>
      <c r="E54" s="81"/>
      <c r="F54" s="81"/>
      <c r="G54" s="81"/>
      <c r="H54" s="81"/>
      <c r="I54" s="81"/>
      <c r="J54" s="81"/>
      <c r="K54" s="81"/>
    </row>
    <row r="55" spans="1:11" ht="18" customHeight="1" x14ac:dyDescent="0.3">
      <c r="A55" s="151"/>
      <c r="B55" s="130"/>
      <c r="C55" s="131"/>
      <c r="D55" s="130"/>
      <c r="E55" s="130"/>
      <c r="F55" s="130"/>
      <c r="G55" s="130"/>
      <c r="H55" s="130"/>
      <c r="I55" s="130"/>
      <c r="J55" s="130"/>
      <c r="K55" s="130"/>
    </row>
    <row r="56" spans="1:11" ht="18" customHeight="1" x14ac:dyDescent="0.3">
      <c r="A56" s="145" t="s">
        <v>293</v>
      </c>
      <c r="B56" s="81"/>
      <c r="C56" s="96"/>
      <c r="D56" s="81"/>
      <c r="E56" s="81"/>
      <c r="F56" s="81"/>
      <c r="G56" s="81"/>
      <c r="H56" s="81"/>
      <c r="I56" s="81"/>
      <c r="J56" s="81"/>
      <c r="K56" s="81"/>
    </row>
    <row r="57" spans="1:11" ht="18" customHeight="1" x14ac:dyDescent="0.3">
      <c r="A57" s="12" t="s">
        <v>294</v>
      </c>
      <c r="B57" s="115">
        <f>'Historical FS'!K80</f>
        <v>461.01</v>
      </c>
      <c r="C57" s="116">
        <f>'Historical FS'!L80</f>
        <v>787.43</v>
      </c>
      <c r="D57" s="115">
        <f>C57+C58+'Assumptions &amp; Drivers'!E60-'Assumptions &amp; Drivers'!E65</f>
        <v>943.21457342499991</v>
      </c>
      <c r="E57" s="128">
        <f>D57+'Assumptions &amp; Drivers'!F60-'Assumptions &amp; Drivers'!F65</f>
        <v>919.75712736062496</v>
      </c>
      <c r="F57" s="128">
        <f>E57+'Assumptions &amp; Drivers'!G60-'Assumptions &amp; Drivers'!G65</f>
        <v>895.63136131964052</v>
      </c>
      <c r="G57" s="128">
        <f>F57+'Assumptions &amp; Drivers'!H60-'Assumptions &amp; Drivers'!H65</f>
        <v>870.8205673026315</v>
      </c>
      <c r="H57" s="128">
        <f>G57+'Assumptions &amp; Drivers'!I60-'Assumptions &amp; Drivers'!I65</f>
        <v>845.30761961019732</v>
      </c>
      <c r="I57" s="128">
        <f>H57+'Assumptions &amp; Drivers'!J60-'Assumptions &amp; Drivers'!J65</f>
        <v>819.07496440045225</v>
      </c>
      <c r="J57" s="128">
        <f>I57+'Assumptions &amp; Drivers'!K60-'Assumptions &amp; Drivers'!K65</f>
        <v>792.10460898546364</v>
      </c>
      <c r="K57" s="128">
        <f>J57+'Assumptions &amp; Drivers'!L60-'Assumptions &amp; Drivers'!L65</f>
        <v>764.37811086010026</v>
      </c>
    </row>
    <row r="58" spans="1:11" ht="18" customHeight="1" x14ac:dyDescent="0.3">
      <c r="A58" s="12" t="s">
        <v>295</v>
      </c>
      <c r="B58" s="115">
        <f>'Historical FS'!K81</f>
        <v>433.04</v>
      </c>
      <c r="C58" s="116">
        <f>'Historical FS'!L81</f>
        <v>178.59</v>
      </c>
      <c r="D58" s="121">
        <v>0</v>
      </c>
      <c r="E58" s="121">
        <v>0</v>
      </c>
      <c r="F58" s="121">
        <v>0</v>
      </c>
      <c r="G58" s="121">
        <v>0</v>
      </c>
      <c r="H58" s="121">
        <v>0</v>
      </c>
      <c r="I58" s="121">
        <v>0</v>
      </c>
      <c r="J58" s="121">
        <v>0</v>
      </c>
      <c r="K58" s="121">
        <v>0</v>
      </c>
    </row>
    <row r="59" spans="1:11" ht="18" customHeight="1" x14ac:dyDescent="0.3">
      <c r="A59" s="12" t="s">
        <v>296</v>
      </c>
      <c r="B59" s="115">
        <f>'Historical FS'!K82</f>
        <v>0.53</v>
      </c>
      <c r="C59" s="116">
        <f>'Historical FS'!L82</f>
        <v>0.45</v>
      </c>
      <c r="D59" s="128">
        <f t="shared" ref="D59:K59" si="40">C59</f>
        <v>0.45</v>
      </c>
      <c r="E59" s="128">
        <f t="shared" si="40"/>
        <v>0.45</v>
      </c>
      <c r="F59" s="128">
        <f t="shared" si="40"/>
        <v>0.45</v>
      </c>
      <c r="G59" s="128">
        <f t="shared" si="40"/>
        <v>0.45</v>
      </c>
      <c r="H59" s="128">
        <f t="shared" si="40"/>
        <v>0.45</v>
      </c>
      <c r="I59" s="128">
        <f t="shared" si="40"/>
        <v>0.45</v>
      </c>
      <c r="J59" s="128">
        <f t="shared" si="40"/>
        <v>0.45</v>
      </c>
      <c r="K59" s="128">
        <f t="shared" si="40"/>
        <v>0.45</v>
      </c>
    </row>
    <row r="60" spans="1:11" ht="18" customHeight="1" x14ac:dyDescent="0.3">
      <c r="A60" s="12" t="s">
        <v>297</v>
      </c>
      <c r="B60" s="115">
        <f>'Historical FS'!K83</f>
        <v>268.43</v>
      </c>
      <c r="C60" s="116">
        <f>'Historical FS'!L83</f>
        <v>28.15</v>
      </c>
      <c r="D60" s="889">
        <f>'Assumptions &amp; Drivers'!$D$117</f>
        <v>150</v>
      </c>
      <c r="E60" s="889">
        <f>'Assumptions &amp; Drivers'!$D$117</f>
        <v>150</v>
      </c>
      <c r="F60" s="121">
        <v>0</v>
      </c>
      <c r="G60" s="121">
        <v>0</v>
      </c>
      <c r="H60" s="121">
        <v>0</v>
      </c>
      <c r="I60" s="121">
        <v>0</v>
      </c>
      <c r="J60" s="121">
        <v>0</v>
      </c>
      <c r="K60" s="121">
        <v>0</v>
      </c>
    </row>
    <row r="61" spans="1:11" ht="18" customHeight="1" x14ac:dyDescent="0.3">
      <c r="A61" s="12" t="s">
        <v>298</v>
      </c>
      <c r="B61" s="115">
        <f>'Historical FS'!K84</f>
        <v>1.25</v>
      </c>
      <c r="C61" s="116">
        <f>'Historical FS'!L84</f>
        <v>146.97999999999999</v>
      </c>
      <c r="D61" s="132">
        <f>C61-'Assumptions &amp; Drivers'!$D$113</f>
        <v>121.97999999999999</v>
      </c>
      <c r="E61" s="132">
        <f>MAX(D61-'Assumptions &amp; Drivers'!$D$113,0)</f>
        <v>96.97999999999999</v>
      </c>
      <c r="F61" s="132">
        <f>MAX(E61-'Assumptions &amp; Drivers'!$D$113,0)</f>
        <v>71.97999999999999</v>
      </c>
      <c r="G61" s="132">
        <f>MAX(F61-'Assumptions &amp; Drivers'!$D$113,0)</f>
        <v>46.97999999999999</v>
      </c>
      <c r="H61" s="132">
        <f>MAX(G61-'Assumptions &amp; Drivers'!$D$113,0)</f>
        <v>21.97999999999999</v>
      </c>
      <c r="I61" s="132">
        <f>MAX(H61-'Assumptions &amp; Drivers'!$D$113,0)</f>
        <v>0</v>
      </c>
      <c r="J61" s="132">
        <f>MAX(I61-'Assumptions &amp; Drivers'!$D$113,0)</f>
        <v>0</v>
      </c>
      <c r="K61" s="132">
        <f>MAX(J61-'Assumptions &amp; Drivers'!$D$113,0)</f>
        <v>0</v>
      </c>
    </row>
    <row r="62" spans="1:11" ht="18" customHeight="1" x14ac:dyDescent="0.3">
      <c r="A62" s="149" t="s">
        <v>300</v>
      </c>
      <c r="B62" s="119">
        <f t="shared" ref="B62:G62" si="41">SUM(B57:B61)</f>
        <v>1164.26</v>
      </c>
      <c r="C62" s="120">
        <f t="shared" si="41"/>
        <v>1141.5999999999999</v>
      </c>
      <c r="D62" s="119">
        <f t="shared" si="41"/>
        <v>1215.6445734250001</v>
      </c>
      <c r="E62" s="119">
        <f t="shared" si="41"/>
        <v>1167.187127360625</v>
      </c>
      <c r="F62" s="119">
        <f t="shared" si="41"/>
        <v>968.06136131964058</v>
      </c>
      <c r="G62" s="119">
        <f t="shared" si="41"/>
        <v>918.25056730263157</v>
      </c>
      <c r="H62" s="119">
        <f>SUM(H57:H61)</f>
        <v>867.73761961019738</v>
      </c>
      <c r="I62" s="119">
        <f>SUM(I57:I61)</f>
        <v>819.52496440045229</v>
      </c>
      <c r="J62" s="119">
        <f>SUM(J57:J61)</f>
        <v>792.55460898546369</v>
      </c>
      <c r="K62" s="119">
        <f>SUM(K57:K61)</f>
        <v>764.82811086010031</v>
      </c>
    </row>
    <row r="63" spans="1:11" ht="18" customHeight="1" x14ac:dyDescent="0.3">
      <c r="A63" s="84"/>
      <c r="B63" s="86"/>
      <c r="C63" s="97"/>
      <c r="D63" s="86"/>
      <c r="E63" s="86"/>
      <c r="F63" s="86"/>
      <c r="G63" s="86"/>
      <c r="H63" s="86"/>
      <c r="I63" s="86"/>
      <c r="J63" s="86"/>
      <c r="K63" s="86"/>
    </row>
    <row r="64" spans="1:11" ht="18" customHeight="1" x14ac:dyDescent="0.3">
      <c r="A64" s="145" t="s">
        <v>302</v>
      </c>
      <c r="B64" s="81"/>
      <c r="C64" s="96"/>
      <c r="D64" s="81"/>
      <c r="E64" s="81"/>
      <c r="F64" s="81"/>
      <c r="G64" s="81"/>
      <c r="H64" s="81"/>
      <c r="I64" s="81"/>
      <c r="J64" s="81"/>
      <c r="K64" s="81"/>
    </row>
    <row r="65" spans="1:11" ht="18" customHeight="1" x14ac:dyDescent="0.3">
      <c r="A65" s="12" t="s">
        <v>303</v>
      </c>
      <c r="B65" s="115">
        <f>'Historical FS'!K89</f>
        <v>340.02</v>
      </c>
      <c r="C65" s="116">
        <f>'Historical FS'!L89</f>
        <v>321.39999999999998</v>
      </c>
      <c r="D65" s="115">
        <f>'Assumptions &amp; Drivers'!E52</f>
        <v>188.98532775336361</v>
      </c>
      <c r="E65" s="115">
        <f>'Assumptions &amp; Drivers'!F52</f>
        <v>194.64834114296553</v>
      </c>
      <c r="F65" s="115">
        <f>'Assumptions &amp; Drivers'!G52</f>
        <v>189.41959079789765</v>
      </c>
      <c r="G65" s="115">
        <f>'Assumptions &amp; Drivers'!H52</f>
        <v>188.9383609685118</v>
      </c>
      <c r="H65" s="115">
        <f>'Assumptions &amp; Drivers'!I52</f>
        <v>188.9383609685118</v>
      </c>
      <c r="I65" s="115">
        <f>'Assumptions &amp; Drivers'!J52</f>
        <v>188.9383609685118</v>
      </c>
      <c r="J65" s="115">
        <f>'Assumptions &amp; Drivers'!K52</f>
        <v>188.9383609685118</v>
      </c>
      <c r="K65" s="115">
        <f>'Assumptions &amp; Drivers'!L52</f>
        <v>188.9383609685118</v>
      </c>
    </row>
    <row r="66" spans="1:11" ht="18" customHeight="1" x14ac:dyDescent="0.3">
      <c r="A66" s="12" t="s">
        <v>304</v>
      </c>
      <c r="B66" s="115">
        <f>'Historical FS'!K90</f>
        <v>76.88</v>
      </c>
      <c r="C66" s="116">
        <f>'Historical FS'!L90</f>
        <v>114.13</v>
      </c>
      <c r="D66" s="115">
        <f>'Assumptions &amp; Drivers'!E50</f>
        <v>193.85692592732855</v>
      </c>
      <c r="E66" s="115">
        <f>'Assumptions &amp; Drivers'!F50</f>
        <v>198.50730462164969</v>
      </c>
      <c r="F66" s="115">
        <f>'Assumptions &amp; Drivers'!G50</f>
        <v>192.49193175432697</v>
      </c>
      <c r="G66" s="115">
        <f>'Assumptions &amp; Drivers'!H50</f>
        <v>186.47655888700424</v>
      </c>
      <c r="H66" s="115">
        <f>'Assumptions &amp; Drivers'!I50</f>
        <v>186.47655888700424</v>
      </c>
      <c r="I66" s="115">
        <f>'Assumptions &amp; Drivers'!J50</f>
        <v>186.47655888700424</v>
      </c>
      <c r="J66" s="115">
        <f>'Assumptions &amp; Drivers'!K50</f>
        <v>186.47655888700424</v>
      </c>
      <c r="K66" s="115">
        <f>'Assumptions &amp; Drivers'!L50</f>
        <v>186.47655888700424</v>
      </c>
    </row>
    <row r="67" spans="1:11" ht="18" customHeight="1" x14ac:dyDescent="0.3">
      <c r="A67" s="154" t="s">
        <v>172</v>
      </c>
      <c r="B67" s="115">
        <f>'Historical FS'!K91</f>
        <v>74.8</v>
      </c>
      <c r="C67" s="116">
        <f>'Historical FS'!L91</f>
        <v>210.18</v>
      </c>
      <c r="D67" s="115">
        <f t="shared" ref="D67:K67" ca="1" si="42">D102</f>
        <v>32.122825181633118</v>
      </c>
      <c r="E67" s="115">
        <f t="shared" ca="1" si="42"/>
        <v>20</v>
      </c>
      <c r="F67" s="115">
        <f t="shared" ca="1" si="42"/>
        <v>298.26035540516528</v>
      </c>
      <c r="G67" s="115">
        <f t="shared" ca="1" si="42"/>
        <v>447.28283810950688</v>
      </c>
      <c r="H67" s="115">
        <f t="shared" ca="1" si="42"/>
        <v>591.82164547764239</v>
      </c>
      <c r="I67" s="115">
        <f t="shared" ca="1" si="42"/>
        <v>734.66563800794097</v>
      </c>
      <c r="J67" s="115">
        <f t="shared" ca="1" si="42"/>
        <v>856.93983822731923</v>
      </c>
      <c r="K67" s="115">
        <f t="shared" ca="1" si="42"/>
        <v>980.69601148192726</v>
      </c>
    </row>
    <row r="68" spans="1:11" ht="18" customHeight="1" x14ac:dyDescent="0.3">
      <c r="A68" s="12" t="s">
        <v>305</v>
      </c>
      <c r="B68" s="115">
        <f>'Historical FS'!K92</f>
        <v>28.47</v>
      </c>
      <c r="C68" s="116">
        <f>'Historical FS'!L92</f>
        <v>0</v>
      </c>
      <c r="D68" s="123">
        <v>0</v>
      </c>
      <c r="E68" s="123">
        <v>0</v>
      </c>
      <c r="F68" s="123">
        <v>0</v>
      </c>
      <c r="G68" s="123">
        <v>0</v>
      </c>
      <c r="H68" s="123">
        <v>0</v>
      </c>
      <c r="I68" s="123">
        <v>0</v>
      </c>
      <c r="J68" s="123">
        <v>0</v>
      </c>
      <c r="K68" s="123">
        <v>0</v>
      </c>
    </row>
    <row r="69" spans="1:11" ht="18" customHeight="1" x14ac:dyDescent="0.3">
      <c r="A69" s="12" t="s">
        <v>307</v>
      </c>
      <c r="B69" s="115">
        <f>'Historical FS'!K93</f>
        <v>191.13</v>
      </c>
      <c r="C69" s="116">
        <f>'Historical FS'!L93</f>
        <v>90.16</v>
      </c>
      <c r="D69" s="128">
        <f t="shared" ref="D69" si="43">C69</f>
        <v>90.16</v>
      </c>
      <c r="E69" s="137">
        <f t="shared" ref="E69:K69" si="44">D69</f>
        <v>90.16</v>
      </c>
      <c r="F69" s="137">
        <f t="shared" si="44"/>
        <v>90.16</v>
      </c>
      <c r="G69" s="137">
        <f t="shared" si="44"/>
        <v>90.16</v>
      </c>
      <c r="H69" s="137">
        <f t="shared" si="44"/>
        <v>90.16</v>
      </c>
      <c r="I69" s="137">
        <f t="shared" si="44"/>
        <v>90.16</v>
      </c>
      <c r="J69" s="137">
        <f t="shared" si="44"/>
        <v>90.16</v>
      </c>
      <c r="K69" s="137">
        <f t="shared" si="44"/>
        <v>90.16</v>
      </c>
    </row>
    <row r="70" spans="1:11" ht="18" customHeight="1" x14ac:dyDescent="0.3">
      <c r="A70" s="149" t="s">
        <v>309</v>
      </c>
      <c r="B70" s="119">
        <f t="shared" ref="B70:G70" si="45">SUM(B65:B69)</f>
        <v>711.3</v>
      </c>
      <c r="C70" s="120">
        <f t="shared" si="45"/>
        <v>735.87</v>
      </c>
      <c r="D70" s="119">
        <f t="shared" ca="1" si="45"/>
        <v>505.12507886232527</v>
      </c>
      <c r="E70" s="119">
        <f t="shared" ca="1" si="45"/>
        <v>503.31564576461517</v>
      </c>
      <c r="F70" s="119">
        <f t="shared" ca="1" si="45"/>
        <v>770.33187795738979</v>
      </c>
      <c r="G70" s="119">
        <f t="shared" ca="1" si="45"/>
        <v>912.85775796502287</v>
      </c>
      <c r="H70" s="119">
        <f ca="1">SUM(H65:H69)</f>
        <v>1057.3965653331584</v>
      </c>
      <c r="I70" s="119">
        <f ca="1">SUM(I65:I69)</f>
        <v>1200.2405578634571</v>
      </c>
      <c r="J70" s="119">
        <f ca="1">SUM(J65:J69)</f>
        <v>1322.5147580828354</v>
      </c>
      <c r="K70" s="119">
        <f ca="1">SUM(K65:K69)</f>
        <v>1446.2709313374432</v>
      </c>
    </row>
    <row r="71" spans="1:11" ht="18" customHeight="1" x14ac:dyDescent="0.3">
      <c r="A71" s="12"/>
      <c r="B71" s="81"/>
      <c r="C71" s="96"/>
      <c r="D71" s="81"/>
      <c r="E71" s="81"/>
      <c r="F71" s="81"/>
      <c r="G71" s="81"/>
      <c r="H71" s="81"/>
      <c r="I71" s="81"/>
      <c r="J71" s="81"/>
      <c r="K71" s="81"/>
    </row>
    <row r="72" spans="1:11" ht="18" customHeight="1" x14ac:dyDescent="0.3">
      <c r="A72" s="146" t="s">
        <v>311</v>
      </c>
      <c r="B72" s="119">
        <f t="shared" ref="B72:G72" si="46">B62+B70</f>
        <v>1875.56</v>
      </c>
      <c r="C72" s="120">
        <f t="shared" si="46"/>
        <v>1877.4699999999998</v>
      </c>
      <c r="D72" s="119">
        <f t="shared" ca="1" si="46"/>
        <v>1720.7696522873252</v>
      </c>
      <c r="E72" s="119">
        <f t="shared" ca="1" si="46"/>
        <v>1670.5027731252403</v>
      </c>
      <c r="F72" s="119">
        <f t="shared" ca="1" si="46"/>
        <v>1738.3932392770303</v>
      </c>
      <c r="G72" s="119">
        <f t="shared" ca="1" si="46"/>
        <v>1831.1083252676544</v>
      </c>
      <c r="H72" s="119">
        <f ca="1">H62+H70</f>
        <v>1925.1341849433556</v>
      </c>
      <c r="I72" s="119">
        <f ca="1">I62+I70</f>
        <v>2019.7655222639094</v>
      </c>
      <c r="J72" s="119">
        <f ca="1">J62+J70</f>
        <v>2115.069367068299</v>
      </c>
      <c r="K72" s="119">
        <f ca="1">K62+K70</f>
        <v>2211.0990421975434</v>
      </c>
    </row>
    <row r="73" spans="1:11" ht="18" customHeight="1" thickBot="1" x14ac:dyDescent="0.35">
      <c r="A73" s="16"/>
      <c r="B73" s="17"/>
      <c r="C73" s="99"/>
      <c r="D73" s="17"/>
      <c r="E73" s="17"/>
      <c r="F73" s="17"/>
      <c r="G73" s="17"/>
      <c r="H73" s="17"/>
      <c r="I73" s="17"/>
      <c r="J73" s="17"/>
      <c r="K73" s="17"/>
    </row>
    <row r="74" spans="1:11" ht="22.05" customHeight="1" thickBot="1" x14ac:dyDescent="0.35">
      <c r="A74" s="109" t="s">
        <v>608</v>
      </c>
      <c r="B74" s="143"/>
      <c r="C74" s="144"/>
      <c r="D74" s="143"/>
      <c r="E74" s="143"/>
      <c r="F74" s="143"/>
      <c r="G74" s="143"/>
      <c r="H74" s="143"/>
      <c r="I74" s="143"/>
      <c r="J74" s="143"/>
      <c r="K74" s="143"/>
    </row>
    <row r="75" spans="1:11" ht="18" customHeight="1" x14ac:dyDescent="0.3">
      <c r="A75" s="35"/>
      <c r="B75" s="35"/>
      <c r="C75" s="35"/>
      <c r="D75" s="35"/>
      <c r="E75" s="35"/>
      <c r="F75" s="35"/>
      <c r="G75" s="35"/>
      <c r="H75" s="35"/>
      <c r="I75" s="35"/>
      <c r="J75" s="35"/>
      <c r="K75" s="35"/>
    </row>
    <row r="76" spans="1:11" ht="18" customHeight="1" x14ac:dyDescent="0.3">
      <c r="A76" s="147" t="s">
        <v>609</v>
      </c>
      <c r="B76" s="85"/>
      <c r="C76" s="95"/>
      <c r="D76" s="85"/>
      <c r="E76" s="85"/>
      <c r="F76" s="85"/>
      <c r="G76" s="85"/>
      <c r="H76" s="85"/>
      <c r="I76" s="85"/>
      <c r="J76" s="85"/>
      <c r="K76" s="85"/>
    </row>
    <row r="77" spans="1:11" ht="18" customHeight="1" x14ac:dyDescent="0.3">
      <c r="A77" s="12" t="s">
        <v>319</v>
      </c>
      <c r="B77" s="81"/>
      <c r="C77" s="133">
        <f t="shared" ref="C77:K77" si="47">C27</f>
        <v>114.60000000000012</v>
      </c>
      <c r="D77" s="128">
        <f t="shared" ca="1" si="47"/>
        <v>225.81067664648373</v>
      </c>
      <c r="E77" s="128">
        <f t="shared" ca="1" si="47"/>
        <v>199.77611552532966</v>
      </c>
      <c r="F77" s="128">
        <f t="shared" ca="1" si="47"/>
        <v>210.34614785824715</v>
      </c>
      <c r="G77" s="128">
        <f t="shared" ca="1" si="47"/>
        <v>215.82119217140661</v>
      </c>
      <c r="H77" s="128">
        <f t="shared" ca="1" si="47"/>
        <v>217.87499860003078</v>
      </c>
      <c r="I77" s="128">
        <f t="shared" ca="1" si="47"/>
        <v>219.8940279113707</v>
      </c>
      <c r="J77" s="128">
        <f t="shared" ca="1" si="47"/>
        <v>221.88776555549401</v>
      </c>
      <c r="K77" s="128">
        <f t="shared" ca="1" si="47"/>
        <v>223.85557924072043</v>
      </c>
    </row>
    <row r="78" spans="1:11" ht="18" customHeight="1" x14ac:dyDescent="0.3">
      <c r="A78" s="12" t="s">
        <v>610</v>
      </c>
      <c r="B78" s="81"/>
      <c r="C78" s="133">
        <f t="shared" ref="C78:K78" si="48">C18</f>
        <v>30.98</v>
      </c>
      <c r="D78" s="128">
        <f t="shared" si="48"/>
        <v>45.715457825000001</v>
      </c>
      <c r="E78" s="128">
        <f t="shared" si="48"/>
        <v>46.940228095625002</v>
      </c>
      <c r="F78" s="128">
        <f t="shared" si="48"/>
        <v>48.195617623015636</v>
      </c>
      <c r="G78" s="128">
        <f t="shared" si="48"/>
        <v>49.48239188859101</v>
      </c>
      <c r="H78" s="128">
        <f t="shared" si="48"/>
        <v>50.801335510805785</v>
      </c>
      <c r="I78" s="128">
        <f t="shared" si="48"/>
        <v>52.153252723575932</v>
      </c>
      <c r="J78" s="128">
        <f t="shared" si="48"/>
        <v>53.538967866665331</v>
      </c>
      <c r="K78" s="128">
        <f t="shared" si="48"/>
        <v>54.959325888331975</v>
      </c>
    </row>
    <row r="79" spans="1:11" ht="18" customHeight="1" x14ac:dyDescent="0.3">
      <c r="A79" s="12"/>
      <c r="B79" s="81"/>
      <c r="C79" s="96"/>
      <c r="D79" s="81"/>
      <c r="E79" s="81"/>
      <c r="F79" s="81"/>
      <c r="G79" s="81"/>
      <c r="H79" s="81"/>
      <c r="I79" s="81"/>
      <c r="J79" s="81"/>
      <c r="K79" s="81"/>
    </row>
    <row r="80" spans="1:11" ht="18" customHeight="1" x14ac:dyDescent="0.3">
      <c r="A80" s="152" t="s">
        <v>325</v>
      </c>
      <c r="B80" s="81"/>
      <c r="C80" s="96"/>
      <c r="D80" s="81"/>
      <c r="E80" s="81"/>
      <c r="F80" s="81"/>
      <c r="G80" s="81"/>
      <c r="H80" s="81"/>
      <c r="I80" s="81"/>
      <c r="J80" s="81"/>
      <c r="K80" s="81"/>
    </row>
    <row r="81" spans="1:11" ht="18" customHeight="1" x14ac:dyDescent="0.3">
      <c r="A81" s="12" t="s">
        <v>611</v>
      </c>
      <c r="B81" s="81"/>
      <c r="C81" s="133">
        <f t="shared" ref="C81:G82" si="49">B65-C65</f>
        <v>18.620000000000005</v>
      </c>
      <c r="D81" s="128">
        <f t="shared" si="49"/>
        <v>132.41467224663637</v>
      </c>
      <c r="E81" s="128">
        <f t="shared" si="49"/>
        <v>-5.6630133896019288</v>
      </c>
      <c r="F81" s="128">
        <f t="shared" si="49"/>
        <v>5.2287503450678798</v>
      </c>
      <c r="G81" s="128">
        <f t="shared" si="49"/>
        <v>0.48122982938585324</v>
      </c>
      <c r="H81" s="128">
        <f t="shared" ref="H81:K82" si="50">G65-H65</f>
        <v>0</v>
      </c>
      <c r="I81" s="128">
        <f t="shared" si="50"/>
        <v>0</v>
      </c>
      <c r="J81" s="128">
        <f t="shared" si="50"/>
        <v>0</v>
      </c>
      <c r="K81" s="128">
        <f t="shared" si="50"/>
        <v>0</v>
      </c>
    </row>
    <row r="82" spans="1:11" ht="18" customHeight="1" x14ac:dyDescent="0.3">
      <c r="A82" s="12" t="s">
        <v>612</v>
      </c>
      <c r="B82" s="81"/>
      <c r="C82" s="133">
        <f t="shared" si="49"/>
        <v>-37.25</v>
      </c>
      <c r="D82" s="128">
        <f t="shared" si="49"/>
        <v>-79.726925927328551</v>
      </c>
      <c r="E82" s="128">
        <f t="shared" si="49"/>
        <v>-4.650378694321148</v>
      </c>
      <c r="F82" s="128">
        <f t="shared" si="49"/>
        <v>6.0153728673227249</v>
      </c>
      <c r="G82" s="128">
        <f t="shared" si="49"/>
        <v>6.0153728673227249</v>
      </c>
      <c r="H82" s="128">
        <f t="shared" si="50"/>
        <v>0</v>
      </c>
      <c r="I82" s="128">
        <f t="shared" si="50"/>
        <v>0</v>
      </c>
      <c r="J82" s="128">
        <f t="shared" si="50"/>
        <v>0</v>
      </c>
      <c r="K82" s="128">
        <f t="shared" si="50"/>
        <v>0</v>
      </c>
    </row>
    <row r="83" spans="1:11" ht="18" customHeight="1" x14ac:dyDescent="0.3">
      <c r="A83" s="12" t="s">
        <v>613</v>
      </c>
      <c r="B83" s="81"/>
      <c r="C83" s="133">
        <f t="shared" ref="C83:K83" si="51">C47-B47</f>
        <v>-250.95000000000005</v>
      </c>
      <c r="D83" s="128">
        <f t="shared" si="51"/>
        <v>-193.32969511315014</v>
      </c>
      <c r="E83" s="128">
        <f t="shared" si="51"/>
        <v>14.100515740433593</v>
      </c>
      <c r="F83" s="128">
        <f t="shared" si="51"/>
        <v>-0.48122982938579639</v>
      </c>
      <c r="G83" s="128">
        <f t="shared" si="51"/>
        <v>-0.48122982938585324</v>
      </c>
      <c r="H83" s="128">
        <f t="shared" si="51"/>
        <v>0</v>
      </c>
      <c r="I83" s="128">
        <f t="shared" si="51"/>
        <v>0</v>
      </c>
      <c r="J83" s="128">
        <f t="shared" si="51"/>
        <v>0</v>
      </c>
      <c r="K83" s="128">
        <f t="shared" si="51"/>
        <v>0</v>
      </c>
    </row>
    <row r="84" spans="1:11" ht="18" customHeight="1" x14ac:dyDescent="0.3">
      <c r="A84" s="12" t="s">
        <v>614</v>
      </c>
      <c r="B84" s="81"/>
      <c r="C84" s="133">
        <f t="shared" ref="C84:K84" si="52">(C40+C41)-(B40+B41)</f>
        <v>7.0200000000000102</v>
      </c>
      <c r="D84" s="128">
        <f t="shared" si="52"/>
        <v>2.1618737479368377</v>
      </c>
      <c r="E84" s="128">
        <f t="shared" si="52"/>
        <v>0.70061517361557435</v>
      </c>
      <c r="F84" s="128">
        <f t="shared" si="52"/>
        <v>-0.62189846346190336</v>
      </c>
      <c r="G84" s="128">
        <f t="shared" si="52"/>
        <v>-1.648518699974943</v>
      </c>
      <c r="H84" s="128">
        <f t="shared" si="52"/>
        <v>-2.5566393443202458</v>
      </c>
      <c r="I84" s="128">
        <f t="shared" si="52"/>
        <v>-3.3644822174059925</v>
      </c>
      <c r="J84" s="128">
        <f t="shared" si="52"/>
        <v>-4.0875910844561787</v>
      </c>
      <c r="K84" s="128">
        <f t="shared" si="52"/>
        <v>-4.739230339259592</v>
      </c>
    </row>
    <row r="85" spans="1:11" ht="18" customHeight="1" x14ac:dyDescent="0.3">
      <c r="A85" s="150" t="s">
        <v>336</v>
      </c>
      <c r="B85" s="89"/>
      <c r="C85" s="127">
        <f t="shared" ref="C85:K85" si="53">C77+C78+C81+C82+C83+C84</f>
        <v>-116.9799999999999</v>
      </c>
      <c r="D85" s="126">
        <f t="shared" ca="1" si="53"/>
        <v>133.04605942557828</v>
      </c>
      <c r="E85" s="126">
        <f t="shared" ca="1" si="53"/>
        <v>251.20408245108075</v>
      </c>
      <c r="F85" s="126">
        <f t="shared" ca="1" si="53"/>
        <v>268.68276040080571</v>
      </c>
      <c r="G85" s="126">
        <f t="shared" ca="1" si="53"/>
        <v>269.67043822734547</v>
      </c>
      <c r="H85" s="126">
        <f t="shared" ca="1" si="53"/>
        <v>266.11969476651632</v>
      </c>
      <c r="I85" s="126">
        <f t="shared" ca="1" si="53"/>
        <v>268.68279841754065</v>
      </c>
      <c r="J85" s="126">
        <f t="shared" ca="1" si="53"/>
        <v>271.33914233770321</v>
      </c>
      <c r="K85" s="126">
        <f t="shared" ca="1" si="53"/>
        <v>274.07567478979286</v>
      </c>
    </row>
    <row r="86" spans="1:11" ht="18" customHeight="1" x14ac:dyDescent="0.3">
      <c r="A86" s="12"/>
      <c r="B86" s="81"/>
      <c r="C86" s="96"/>
      <c r="D86" s="81"/>
      <c r="E86" s="81"/>
      <c r="F86" s="81"/>
      <c r="G86" s="81"/>
      <c r="H86" s="81"/>
      <c r="I86" s="81"/>
      <c r="J86" s="81"/>
      <c r="K86" s="81"/>
    </row>
    <row r="87" spans="1:11" ht="18" customHeight="1" x14ac:dyDescent="0.3">
      <c r="A87" s="145" t="s">
        <v>615</v>
      </c>
      <c r="B87" s="81"/>
      <c r="C87" s="96"/>
      <c r="D87" s="81"/>
      <c r="E87" s="81"/>
      <c r="F87" s="81"/>
      <c r="G87" s="81"/>
      <c r="H87" s="81"/>
      <c r="I87" s="81"/>
      <c r="J87" s="81"/>
      <c r="K87" s="81"/>
    </row>
    <row r="88" spans="1:11" ht="18" customHeight="1" x14ac:dyDescent="0.3">
      <c r="A88" s="12" t="s">
        <v>616</v>
      </c>
      <c r="B88" s="81"/>
      <c r="C88" s="116">
        <f>-(C57-B57+(C58-B58)+C18)</f>
        <v>-102.94999999999995</v>
      </c>
      <c r="D88" s="128">
        <f>-'Assumptions &amp; Drivers'!E60</f>
        <v>-22.910031250000003</v>
      </c>
      <c r="E88" s="128">
        <f>-'Assumptions &amp; Drivers'!F60</f>
        <v>-23.48278203125</v>
      </c>
      <c r="F88" s="128">
        <f>-'Assumptions &amp; Drivers'!G60</f>
        <v>-24.069851582031252</v>
      </c>
      <c r="G88" s="128">
        <f>-'Assumptions &amp; Drivers'!H60</f>
        <v>-24.671597871582033</v>
      </c>
      <c r="H88" s="128">
        <f>-'Assumptions &amp; Drivers'!I60</f>
        <v>-25.288387818371582</v>
      </c>
      <c r="I88" s="128">
        <f>-'Assumptions &amp; Drivers'!J60</f>
        <v>-25.92059751383087</v>
      </c>
      <c r="J88" s="128">
        <f>-'Assumptions &amp; Drivers'!K60</f>
        <v>-26.568612451676643</v>
      </c>
      <c r="K88" s="128">
        <f>-'Assumptions &amp; Drivers'!L60</f>
        <v>-27.232827762968562</v>
      </c>
    </row>
    <row r="89" spans="1:11" ht="18" customHeight="1" x14ac:dyDescent="0.3">
      <c r="A89" s="149" t="s">
        <v>617</v>
      </c>
      <c r="B89" s="80"/>
      <c r="C89" s="134">
        <f t="shared" ref="C89:K89" si="54">C88+(B59-C59)+(B60-C60)+(B61-C61)</f>
        <v>-8.3199999999999363</v>
      </c>
      <c r="D89" s="135">
        <f t="shared" si="54"/>
        <v>-119.76003125</v>
      </c>
      <c r="E89" s="135">
        <f t="shared" si="54"/>
        <v>1.5172179687499998</v>
      </c>
      <c r="F89" s="135">
        <f t="shared" si="54"/>
        <v>150.93014841796875</v>
      </c>
      <c r="G89" s="135">
        <f t="shared" si="54"/>
        <v>0.32840212841796657</v>
      </c>
      <c r="H89" s="135">
        <f t="shared" si="54"/>
        <v>-0.28838781837158223</v>
      </c>
      <c r="I89" s="135">
        <f t="shared" si="54"/>
        <v>-3.9405975138308804</v>
      </c>
      <c r="J89" s="135">
        <f t="shared" si="54"/>
        <v>-26.568612451676643</v>
      </c>
      <c r="K89" s="135">
        <f t="shared" si="54"/>
        <v>-27.232827762968562</v>
      </c>
    </row>
    <row r="90" spans="1:11" ht="18" customHeight="1" x14ac:dyDescent="0.3">
      <c r="A90" s="84"/>
      <c r="B90" s="86"/>
      <c r="C90" s="97"/>
      <c r="D90" s="86"/>
      <c r="E90" s="86"/>
      <c r="F90" s="86"/>
      <c r="G90" s="86"/>
      <c r="H90" s="86"/>
      <c r="I90" s="86"/>
      <c r="J90" s="86"/>
      <c r="K90" s="86"/>
    </row>
    <row r="91" spans="1:11" ht="18" customHeight="1" x14ac:dyDescent="0.3">
      <c r="A91" s="145" t="s">
        <v>618</v>
      </c>
      <c r="B91" s="81"/>
      <c r="C91" s="96"/>
      <c r="D91" s="81"/>
      <c r="E91" s="81"/>
      <c r="F91" s="81"/>
      <c r="G91" s="81"/>
      <c r="H91" s="81"/>
      <c r="I91" s="81"/>
      <c r="J91" s="81"/>
      <c r="K91" s="81"/>
    </row>
    <row r="92" spans="1:11" ht="18" customHeight="1" x14ac:dyDescent="0.3">
      <c r="A92" s="12" t="s">
        <v>619</v>
      </c>
      <c r="B92" s="81"/>
      <c r="C92" s="116">
        <f t="shared" ref="C92:K92" si="55">C39-B39</f>
        <v>112.81</v>
      </c>
      <c r="D92" s="115">
        <f t="shared" si="55"/>
        <v>-5.5200000000000387</v>
      </c>
      <c r="E92" s="115">
        <f t="shared" si="55"/>
        <v>-34.399999999999977</v>
      </c>
      <c r="F92" s="115">
        <f t="shared" si="55"/>
        <v>-45.100000000000023</v>
      </c>
      <c r="G92" s="115">
        <f t="shared" si="55"/>
        <v>-45.300000000000011</v>
      </c>
      <c r="H92" s="115">
        <f t="shared" si="55"/>
        <v>-45</v>
      </c>
      <c r="I92" s="115">
        <f t="shared" si="55"/>
        <v>-45</v>
      </c>
      <c r="J92" s="115">
        <f t="shared" si="55"/>
        <v>-45</v>
      </c>
      <c r="K92" s="115">
        <f t="shared" si="55"/>
        <v>-45</v>
      </c>
    </row>
    <row r="93" spans="1:11" ht="18" customHeight="1" x14ac:dyDescent="0.3">
      <c r="A93" s="12" t="s">
        <v>620</v>
      </c>
      <c r="B93" s="81"/>
      <c r="C93" s="133">
        <f t="shared" ref="C93:K93" si="56">C45-B45</f>
        <v>108.19</v>
      </c>
      <c r="D93" s="115">
        <f t="shared" si="56"/>
        <v>42.800000000000011</v>
      </c>
      <c r="E93" s="115">
        <f t="shared" si="56"/>
        <v>-147</v>
      </c>
      <c r="F93" s="115">
        <f t="shared" si="56"/>
        <v>-4.8</v>
      </c>
      <c r="G93" s="115">
        <f t="shared" si="56"/>
        <v>0</v>
      </c>
      <c r="H93" s="115">
        <f t="shared" si="56"/>
        <v>0</v>
      </c>
      <c r="I93" s="115">
        <f t="shared" si="56"/>
        <v>0</v>
      </c>
      <c r="J93" s="115">
        <f t="shared" si="56"/>
        <v>0</v>
      </c>
      <c r="K93" s="115">
        <f t="shared" si="56"/>
        <v>0</v>
      </c>
    </row>
    <row r="94" spans="1:11" ht="18" customHeight="1" x14ac:dyDescent="0.3">
      <c r="A94" s="12" t="s">
        <v>621</v>
      </c>
      <c r="B94" s="81"/>
      <c r="C94" s="116">
        <f>(C35-B35-C27)+(C34-B34)</f>
        <v>-158.03000000000017</v>
      </c>
      <c r="D94" s="890">
        <f ca="1">-INDEX('Scenario Engine'!$B$59:$D$59,MATCH('Scenario Engine'!$B$3,{"Bull","Base","Bear"},0))-'Assumptions &amp; Drivers'!$D$115-'Assumptions &amp; Drivers'!$D$116*D27</f>
        <v>-258.62320299394514</v>
      </c>
      <c r="E94" s="891">
        <f ca="1">-'Assumptions &amp; Drivers'!$D$115-'Assumptions &amp; Drivers'!$D$116*E27</f>
        <v>-70.862834657598896</v>
      </c>
      <c r="F94" s="891">
        <f ca="1">-'Assumptions &amp; Drivers'!$D$115-'Assumptions &amp; Drivers'!$D$116*F27</f>
        <v>-74.033844357474152</v>
      </c>
      <c r="G94" s="891">
        <f ca="1">-'Assumptions &amp; Drivers'!$D$115-'Assumptions &amp; Drivers'!$D$116*G27</f>
        <v>-75.676357651421966</v>
      </c>
      <c r="H94" s="891">
        <f ca="1">-'Assumptions &amp; Drivers'!$D$115-'Assumptions &amp; Drivers'!$D$116*H27</f>
        <v>-76.292499580009235</v>
      </c>
      <c r="I94" s="891">
        <f ca="1">-'Assumptions &amp; Drivers'!$D$115-'Assumptions &amp; Drivers'!$D$116*I27</f>
        <v>-76.898208373411194</v>
      </c>
      <c r="J94" s="891">
        <f ca="1">-'Assumptions &amp; Drivers'!$D$115-'Assumptions &amp; Drivers'!$D$116*J27</f>
        <v>-77.496329666648194</v>
      </c>
      <c r="K94" s="891">
        <f ca="1">-'Assumptions &amp; Drivers'!$D$115-'Assumptions &amp; Drivers'!$D$116*K27</f>
        <v>-78.08667377221613</v>
      </c>
    </row>
    <row r="95" spans="1:11" ht="18" customHeight="1" x14ac:dyDescent="0.3">
      <c r="A95" s="149" t="s">
        <v>360</v>
      </c>
      <c r="B95" s="80"/>
      <c r="C95" s="120">
        <f t="shared" ref="C95:K95" si="57">C92+C93+C94</f>
        <v>62.969999999999828</v>
      </c>
      <c r="D95" s="119">
        <f t="shared" ca="1" si="57"/>
        <v>-221.34320299394517</v>
      </c>
      <c r="E95" s="119">
        <f t="shared" ca="1" si="57"/>
        <v>-252.26283465759889</v>
      </c>
      <c r="F95" s="119">
        <f t="shared" ca="1" si="57"/>
        <v>-123.93384435747417</v>
      </c>
      <c r="G95" s="119">
        <f t="shared" ca="1" si="57"/>
        <v>-120.97635765142198</v>
      </c>
      <c r="H95" s="119">
        <f t="shared" ca="1" si="57"/>
        <v>-121.29249958000923</v>
      </c>
      <c r="I95" s="119">
        <f t="shared" ca="1" si="57"/>
        <v>-121.89820837341119</v>
      </c>
      <c r="J95" s="119">
        <f t="shared" ca="1" si="57"/>
        <v>-122.49632966664819</v>
      </c>
      <c r="K95" s="119">
        <f t="shared" ca="1" si="57"/>
        <v>-123.08667377221613</v>
      </c>
    </row>
    <row r="96" spans="1:11" ht="18" customHeight="1" x14ac:dyDescent="0.3">
      <c r="A96" s="12"/>
      <c r="B96" s="81"/>
      <c r="C96" s="96"/>
      <c r="D96" s="81"/>
      <c r="E96" s="81"/>
      <c r="F96" s="81"/>
      <c r="G96" s="81"/>
      <c r="H96" s="81"/>
      <c r="I96" s="81"/>
      <c r="J96" s="81"/>
      <c r="K96" s="81"/>
    </row>
    <row r="97" spans="1:11" ht="18" customHeight="1" x14ac:dyDescent="0.3">
      <c r="A97" s="149" t="s">
        <v>622</v>
      </c>
      <c r="B97" s="80"/>
      <c r="C97" s="120">
        <f t="shared" ref="C97:K97" si="58">C85+C89+C95</f>
        <v>-62.330000000000013</v>
      </c>
      <c r="D97" s="119">
        <f t="shared" ca="1" si="58"/>
        <v>-208.05717481836689</v>
      </c>
      <c r="E97" s="119">
        <f t="shared" ca="1" si="58"/>
        <v>0.4584657622318673</v>
      </c>
      <c r="F97" s="119">
        <f t="shared" ca="1" si="58"/>
        <v>295.6790644613003</v>
      </c>
      <c r="G97" s="119">
        <f t="shared" ca="1" si="58"/>
        <v>149.02248270434146</v>
      </c>
      <c r="H97" s="119">
        <f t="shared" ca="1" si="58"/>
        <v>144.53880736813551</v>
      </c>
      <c r="I97" s="119">
        <f t="shared" ca="1" si="58"/>
        <v>142.84399253029858</v>
      </c>
      <c r="J97" s="119">
        <f t="shared" ca="1" si="58"/>
        <v>122.27420021937837</v>
      </c>
      <c r="K97" s="119">
        <f t="shared" ca="1" si="58"/>
        <v>123.75617325460817</v>
      </c>
    </row>
    <row r="98" spans="1:11" ht="18" customHeight="1" x14ac:dyDescent="0.3">
      <c r="A98" s="12"/>
      <c r="B98" s="81"/>
      <c r="C98" s="96"/>
      <c r="D98" s="81"/>
      <c r="E98" s="81"/>
      <c r="F98" s="81"/>
      <c r="G98" s="81"/>
      <c r="H98" s="81"/>
      <c r="I98" s="81"/>
      <c r="J98" s="81"/>
      <c r="K98" s="81"/>
    </row>
    <row r="99" spans="1:11" ht="18" customHeight="1" x14ac:dyDescent="0.3">
      <c r="A99" s="12" t="s">
        <v>364</v>
      </c>
      <c r="B99" s="81"/>
      <c r="C99" s="133">
        <f>B67</f>
        <v>74.8</v>
      </c>
      <c r="D99" s="128">
        <f t="shared" ref="D99:K99" si="59">C102</f>
        <v>210.18</v>
      </c>
      <c r="E99" s="128">
        <f t="shared" ca="1" si="59"/>
        <v>32.122825181633118</v>
      </c>
      <c r="F99" s="128">
        <f t="shared" ca="1" si="59"/>
        <v>20</v>
      </c>
      <c r="G99" s="128">
        <f t="shared" ca="1" si="59"/>
        <v>298.26035540516528</v>
      </c>
      <c r="H99" s="128">
        <f t="shared" ca="1" si="59"/>
        <v>447.28283810950688</v>
      </c>
      <c r="I99" s="128">
        <f t="shared" ca="1" si="59"/>
        <v>591.82164547764239</v>
      </c>
      <c r="J99" s="128">
        <f t="shared" ca="1" si="59"/>
        <v>734.66563800794097</v>
      </c>
      <c r="K99" s="128">
        <f t="shared" ca="1" si="59"/>
        <v>856.93983822731923</v>
      </c>
    </row>
    <row r="100" spans="1:11" ht="18" customHeight="1" x14ac:dyDescent="0.3">
      <c r="A100" s="148" t="s">
        <v>623</v>
      </c>
      <c r="B100" s="81"/>
      <c r="C100" s="136">
        <f t="shared" ref="C100:K100" si="60">C99+C85+C89+C95</f>
        <v>12.469999999999985</v>
      </c>
      <c r="D100" s="137">
        <f t="shared" ca="1" si="60"/>
        <v>2.1228251816331181</v>
      </c>
      <c r="E100" s="137">
        <f t="shared" ca="1" si="60"/>
        <v>32.581290943864985</v>
      </c>
      <c r="F100" s="137">
        <f t="shared" ca="1" si="60"/>
        <v>315.6790644613003</v>
      </c>
      <c r="G100" s="137">
        <f t="shared" ca="1" si="60"/>
        <v>447.28283810950688</v>
      </c>
      <c r="H100" s="137">
        <f t="shared" ca="1" si="60"/>
        <v>591.82164547764239</v>
      </c>
      <c r="I100" s="137">
        <f t="shared" ca="1" si="60"/>
        <v>734.66563800794097</v>
      </c>
      <c r="J100" s="137">
        <f t="shared" ca="1" si="60"/>
        <v>856.93983822731923</v>
      </c>
      <c r="K100" s="137">
        <f t="shared" ca="1" si="60"/>
        <v>980.69601148192726</v>
      </c>
    </row>
    <row r="101" spans="1:11" ht="18" customHeight="1" x14ac:dyDescent="0.3">
      <c r="A101" s="18" t="s">
        <v>624</v>
      </c>
      <c r="B101" s="81"/>
      <c r="C101" s="122">
        <v>0</v>
      </c>
      <c r="D101" s="137">
        <f t="shared" ref="D101:K101" ca="1" si="61">D46-C46</f>
        <v>30</v>
      </c>
      <c r="E101" s="137">
        <f t="shared" ca="1" si="61"/>
        <v>-12.581290943864985</v>
      </c>
      <c r="F101" s="137">
        <f t="shared" ca="1" si="61"/>
        <v>-17.418709056135015</v>
      </c>
      <c r="G101" s="137">
        <f t="shared" ca="1" si="61"/>
        <v>0</v>
      </c>
      <c r="H101" s="137">
        <f t="shared" ca="1" si="61"/>
        <v>0</v>
      </c>
      <c r="I101" s="137">
        <f t="shared" ca="1" si="61"/>
        <v>0</v>
      </c>
      <c r="J101" s="137">
        <f t="shared" ca="1" si="61"/>
        <v>0</v>
      </c>
      <c r="K101" s="137">
        <f t="shared" ca="1" si="61"/>
        <v>0</v>
      </c>
    </row>
    <row r="102" spans="1:11" ht="18" customHeight="1" x14ac:dyDescent="0.3">
      <c r="A102" s="149" t="s">
        <v>625</v>
      </c>
      <c r="B102" s="80"/>
      <c r="C102" s="134">
        <f>C67</f>
        <v>210.18</v>
      </c>
      <c r="D102" s="119">
        <f t="shared" ref="D102:K102" ca="1" si="62">D100+D101</f>
        <v>32.122825181633118</v>
      </c>
      <c r="E102" s="119">
        <f t="shared" ca="1" si="62"/>
        <v>20</v>
      </c>
      <c r="F102" s="119">
        <f t="shared" ca="1" si="62"/>
        <v>298.26035540516528</v>
      </c>
      <c r="G102" s="119">
        <f t="shared" ca="1" si="62"/>
        <v>447.28283810950688</v>
      </c>
      <c r="H102" s="119">
        <f t="shared" ca="1" si="62"/>
        <v>591.82164547764239</v>
      </c>
      <c r="I102" s="119">
        <f t="shared" ca="1" si="62"/>
        <v>734.66563800794097</v>
      </c>
      <c r="J102" s="119">
        <f t="shared" ca="1" si="62"/>
        <v>856.93983822731923</v>
      </c>
      <c r="K102" s="119">
        <f t="shared" ca="1" si="62"/>
        <v>980.69601148192726</v>
      </c>
    </row>
    <row r="103" spans="1:11" ht="18" customHeight="1" thickBot="1" x14ac:dyDescent="0.35">
      <c r="A103" s="153" t="s">
        <v>626</v>
      </c>
      <c r="B103" s="17"/>
      <c r="C103" s="99"/>
      <c r="D103" s="17"/>
      <c r="E103" s="17"/>
      <c r="F103" s="17"/>
      <c r="G103" s="17"/>
      <c r="H103" s="17"/>
      <c r="I103" s="17"/>
      <c r="J103" s="17"/>
      <c r="K103" s="17"/>
    </row>
    <row r="104" spans="1:11" ht="18" customHeight="1" thickBot="1" x14ac:dyDescent="0.35">
      <c r="A104" s="9" t="s">
        <v>627</v>
      </c>
      <c r="B104" s="10"/>
      <c r="C104" s="100"/>
      <c r="D104" s="10"/>
      <c r="E104" s="10"/>
      <c r="F104" s="10"/>
      <c r="G104" s="10"/>
      <c r="H104" s="112"/>
      <c r="I104" s="112"/>
      <c r="J104" s="112"/>
      <c r="K104" s="112"/>
    </row>
    <row r="105" spans="1:11" ht="18" customHeight="1" x14ac:dyDescent="0.3">
      <c r="A105" s="19" t="s">
        <v>628</v>
      </c>
      <c r="B105" s="138">
        <f t="shared" ref="B105:G105" si="63">B72-B52</f>
        <v>0</v>
      </c>
      <c r="C105" s="139">
        <f t="shared" si="63"/>
        <v>0</v>
      </c>
      <c r="D105" s="138">
        <f t="shared" ca="1" si="63"/>
        <v>0</v>
      </c>
      <c r="E105" s="138">
        <f t="shared" ca="1" si="63"/>
        <v>0</v>
      </c>
      <c r="F105" s="138">
        <f t="shared" ca="1" si="63"/>
        <v>0</v>
      </c>
      <c r="G105" s="138">
        <f t="shared" ca="1" si="63"/>
        <v>0</v>
      </c>
      <c r="H105" s="138">
        <f ca="1">H72-H52</f>
        <v>0</v>
      </c>
      <c r="I105" s="138">
        <f ca="1">I72-I52</f>
        <v>0</v>
      </c>
      <c r="J105" s="138">
        <f ca="1">J72-J52</f>
        <v>0</v>
      </c>
      <c r="K105" s="138">
        <f ca="1">K72-K52</f>
        <v>0</v>
      </c>
    </row>
    <row r="106" spans="1:11" ht="18" customHeight="1" x14ac:dyDescent="0.3">
      <c r="A106" s="20" t="s">
        <v>4</v>
      </c>
      <c r="B106" s="21" t="str">
        <f t="shared" ref="B106:G106" si="64">IF(ABS(B105)&lt;0.05,"✓ Balanced","✗ IMBALANCE by "&amp;ROUND(B105,2))</f>
        <v>✓ Balanced</v>
      </c>
      <c r="C106" s="101" t="str">
        <f t="shared" si="64"/>
        <v>✓ Balanced</v>
      </c>
      <c r="D106" s="21" t="str">
        <f t="shared" ca="1" si="64"/>
        <v>✓ Balanced</v>
      </c>
      <c r="E106" s="21" t="str">
        <f t="shared" ca="1" si="64"/>
        <v>✓ Balanced</v>
      </c>
      <c r="F106" s="21" t="str">
        <f t="shared" ca="1" si="64"/>
        <v>✓ Balanced</v>
      </c>
      <c r="G106" s="21" t="str">
        <f t="shared" ca="1" si="64"/>
        <v>✓ Balanced</v>
      </c>
      <c r="H106" s="21" t="str">
        <f ca="1">IF(ABS(H105)&lt;0.05,"✓ Balanced","✗ IMBALANCE by "&amp;ROUND(H105,2))</f>
        <v>✓ Balanced</v>
      </c>
      <c r="I106" s="21" t="str">
        <f ca="1">IF(ABS(I105)&lt;0.05,"✓ Balanced","✗ IMBALANCE by "&amp;ROUND(I105,2))</f>
        <v>✓ Balanced</v>
      </c>
      <c r="J106" s="21" t="str">
        <f ca="1">IF(ABS(J105)&lt;0.05,"✓ Balanced","✗ IMBALANCE by "&amp;ROUND(J105,2))</f>
        <v>✓ Balanced</v>
      </c>
      <c r="K106" s="21" t="str">
        <f ca="1">IF(ABS(K105)&lt;0.05,"✓ Balanced","✗ IMBALANCE by "&amp;ROUND(K105,2))</f>
        <v>✓ Balanced</v>
      </c>
    </row>
    <row r="107" spans="1:11" ht="18" customHeight="1" x14ac:dyDescent="0.3">
      <c r="A107" s="2"/>
      <c r="B107" s="2"/>
      <c r="C107" s="102"/>
      <c r="D107" s="2"/>
      <c r="E107" s="2"/>
      <c r="F107" s="2"/>
      <c r="G107" s="2"/>
      <c r="H107" s="2"/>
      <c r="I107" s="2"/>
      <c r="J107" s="2"/>
      <c r="K107" s="2"/>
    </row>
    <row r="108" spans="1:11" ht="18" customHeight="1" x14ac:dyDescent="0.3">
      <c r="A108" s="4" t="s">
        <v>629</v>
      </c>
      <c r="B108" s="3"/>
      <c r="C108" s="103"/>
      <c r="D108" s="3"/>
      <c r="E108" s="3"/>
      <c r="F108" s="3"/>
      <c r="G108" s="3"/>
      <c r="H108" s="66"/>
      <c r="I108" s="66"/>
      <c r="J108" s="66"/>
      <c r="K108" s="66"/>
    </row>
    <row r="109" spans="1:11" ht="18" customHeight="1" x14ac:dyDescent="0.3">
      <c r="A109" s="22" t="s">
        <v>630</v>
      </c>
      <c r="B109" s="2"/>
      <c r="C109" s="140">
        <f t="shared" ref="C109:K109" si="65">ROUND((B39+B45+B46)+C92+C93+C101-(C39+C45+C46),2)</f>
        <v>0</v>
      </c>
      <c r="D109" s="141">
        <f t="shared" ca="1" si="65"/>
        <v>0</v>
      </c>
      <c r="E109" s="141">
        <f t="shared" ca="1" si="65"/>
        <v>0</v>
      </c>
      <c r="F109" s="141">
        <f t="shared" ca="1" si="65"/>
        <v>0</v>
      </c>
      <c r="G109" s="141">
        <f t="shared" ca="1" si="65"/>
        <v>0</v>
      </c>
      <c r="H109" s="141">
        <f t="shared" ca="1" si="65"/>
        <v>0</v>
      </c>
      <c r="I109" s="141">
        <f t="shared" ca="1" si="65"/>
        <v>0</v>
      </c>
      <c r="J109" s="141">
        <f t="shared" ca="1" si="65"/>
        <v>0</v>
      </c>
      <c r="K109" s="141">
        <f t="shared" ca="1" si="65"/>
        <v>0</v>
      </c>
    </row>
    <row r="110" spans="1:11" ht="18" customHeight="1" x14ac:dyDescent="0.3">
      <c r="A110" s="22" t="s">
        <v>631</v>
      </c>
      <c r="B110" s="2"/>
      <c r="C110" s="142">
        <f t="shared" ref="C110:K110" si="66">ROUND(B46+C101-C46,2)</f>
        <v>0</v>
      </c>
      <c r="D110" s="141">
        <f t="shared" ca="1" si="66"/>
        <v>0</v>
      </c>
      <c r="E110" s="141">
        <f t="shared" ca="1" si="66"/>
        <v>0</v>
      </c>
      <c r="F110" s="141">
        <f t="shared" ca="1" si="66"/>
        <v>0</v>
      </c>
      <c r="G110" s="141">
        <f t="shared" ca="1" si="66"/>
        <v>0</v>
      </c>
      <c r="H110" s="141">
        <f t="shared" ca="1" si="66"/>
        <v>0</v>
      </c>
      <c r="I110" s="141">
        <f t="shared" ca="1" si="66"/>
        <v>0</v>
      </c>
      <c r="J110" s="141">
        <f t="shared" ca="1" si="66"/>
        <v>0</v>
      </c>
      <c r="K110" s="141">
        <f t="shared" ca="1" si="66"/>
        <v>0</v>
      </c>
    </row>
    <row r="111" spans="1:11" ht="18" customHeight="1" x14ac:dyDescent="0.3">
      <c r="A111" s="23" t="s">
        <v>4</v>
      </c>
      <c r="B111" s="2"/>
      <c r="C111" s="104" t="str">
        <f t="shared" ref="C111:K111" si="67">IF(AND(ABS(C109)&lt;0.05,ABS(C110)&lt;0.05),"✓ Tied","⚠ Review "&amp;ROUND(C109,2))</f>
        <v>✓ Tied</v>
      </c>
      <c r="D111" s="24" t="str">
        <f t="shared" ca="1" si="67"/>
        <v>✓ Tied</v>
      </c>
      <c r="E111" s="24" t="str">
        <f t="shared" ca="1" si="67"/>
        <v>✓ Tied</v>
      </c>
      <c r="F111" s="24" t="str">
        <f t="shared" ca="1" si="67"/>
        <v>✓ Tied</v>
      </c>
      <c r="G111" s="24" t="str">
        <f t="shared" ca="1" si="67"/>
        <v>✓ Tied</v>
      </c>
      <c r="H111" s="24" t="str">
        <f t="shared" ca="1" si="67"/>
        <v>✓ Tied</v>
      </c>
      <c r="I111" s="24" t="str">
        <f t="shared" ca="1" si="67"/>
        <v>✓ Tied</v>
      </c>
      <c r="J111" s="24" t="str">
        <f t="shared" ca="1" si="67"/>
        <v>✓ Tied</v>
      </c>
      <c r="K111" s="24" t="str">
        <f t="shared" ca="1" si="67"/>
        <v>✓ Tied</v>
      </c>
    </row>
  </sheetData>
  <mergeCells count="4">
    <mergeCell ref="A1:G1"/>
    <mergeCell ref="A2:G2"/>
    <mergeCell ref="A5:K5"/>
    <mergeCell ref="A30:K30"/>
  </mergeCells>
  <conditionalFormatting sqref="B106:K106">
    <cfRule type="containsText" dxfId="5" priority="2" operator="containsText" text="Balanced">
      <formula>NOT(ISERROR(SEARCH("Balanced",B106)))</formula>
    </cfRule>
    <cfRule type="containsText" dxfId="4" priority="3" operator="containsText" text="IMBALANCE">
      <formula>NOT(ISERROR(SEARCH("IMBALANCE",B106)))</formula>
    </cfRule>
  </conditionalFormatting>
  <conditionalFormatting sqref="C67:K67">
    <cfRule type="cellIs" dxfId="3" priority="4" operator="lessThan">
      <formula>0</formula>
    </cfRule>
  </conditionalFormatting>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K158"/>
  <sheetViews>
    <sheetView showGridLines="0" zoomScaleNormal="100" workbookViewId="0">
      <pane ySplit="2" topLeftCell="A83" activePane="bottomLeft" state="frozen"/>
      <selection pane="bottomLeft" activeCell="B20" sqref="B20"/>
    </sheetView>
  </sheetViews>
  <sheetFormatPr defaultColWidth="8.6640625" defaultRowHeight="14.4" x14ac:dyDescent="0.3"/>
  <cols>
    <col min="1" max="1" width="51.88671875" customWidth="1"/>
    <col min="2" max="8" width="20.33203125" customWidth="1"/>
  </cols>
  <sheetData>
    <row r="1" spans="1:11" ht="24" customHeight="1" x14ac:dyDescent="0.3">
      <c r="A1" s="913" t="s">
        <v>632</v>
      </c>
      <c r="B1" s="913"/>
      <c r="C1" s="913"/>
      <c r="D1" s="913"/>
      <c r="E1" s="913"/>
      <c r="F1" s="913"/>
      <c r="G1" s="913"/>
      <c r="H1" s="913"/>
      <c r="I1" s="48"/>
      <c r="J1" s="48"/>
      <c r="K1" s="48"/>
    </row>
    <row r="2" spans="1:11" ht="18" customHeight="1" x14ac:dyDescent="0.3">
      <c r="A2" s="914" t="s">
        <v>633</v>
      </c>
      <c r="B2" s="914"/>
      <c r="C2" s="914"/>
      <c r="D2" s="914"/>
      <c r="E2" s="914"/>
      <c r="F2" s="914"/>
      <c r="G2" s="914"/>
      <c r="H2" s="914"/>
      <c r="I2" s="48"/>
      <c r="J2" s="48"/>
      <c r="K2" s="48"/>
    </row>
    <row r="3" spans="1:11" ht="14.25" customHeight="1" x14ac:dyDescent="0.3">
      <c r="A3" s="446" t="s">
        <v>1303</v>
      </c>
      <c r="B3" s="298"/>
      <c r="C3" s="298"/>
      <c r="D3" s="298"/>
      <c r="E3" s="298"/>
      <c r="F3" s="298"/>
      <c r="G3" s="298"/>
      <c r="H3" s="298"/>
      <c r="I3" s="48"/>
      <c r="J3" s="48"/>
      <c r="K3" s="48"/>
    </row>
    <row r="4" spans="1:11" ht="27.75" customHeight="1" x14ac:dyDescent="0.3">
      <c r="A4" s="447" t="s">
        <v>634</v>
      </c>
      <c r="B4" s="293"/>
      <c r="C4" s="293"/>
      <c r="D4" s="293"/>
      <c r="E4" s="293"/>
      <c r="F4" s="293"/>
      <c r="G4" s="293"/>
      <c r="H4" s="293"/>
      <c r="I4" s="48"/>
      <c r="J4" s="48"/>
      <c r="K4" s="48"/>
    </row>
    <row r="5" spans="1:11" ht="14.25" customHeight="1" x14ac:dyDescent="0.3">
      <c r="A5" s="448"/>
      <c r="B5" s="298"/>
      <c r="C5" s="298"/>
      <c r="D5" s="298"/>
      <c r="E5" s="298"/>
      <c r="F5" s="298"/>
      <c r="G5" s="298"/>
      <c r="H5" s="298"/>
      <c r="I5" s="48"/>
      <c r="J5" s="48"/>
      <c r="K5" s="48"/>
    </row>
    <row r="6" spans="1:11" ht="14.25" customHeight="1" x14ac:dyDescent="0.3">
      <c r="A6" s="449" t="s">
        <v>635</v>
      </c>
      <c r="B6" s="450"/>
      <c r="C6" s="451"/>
      <c r="D6" s="451"/>
      <c r="E6" s="451"/>
      <c r="F6" s="451"/>
      <c r="G6" s="451"/>
      <c r="H6" s="451"/>
      <c r="I6" s="48"/>
      <c r="J6" s="48"/>
      <c r="K6" s="48"/>
    </row>
    <row r="7" spans="1:11" ht="14.25" customHeight="1" x14ac:dyDescent="0.3">
      <c r="A7" s="29" t="s">
        <v>636</v>
      </c>
      <c r="B7" s="647">
        <f>INDEX('Scenario Engine'!$B$83:$D$83,MATCH('Scenario Engine'!$B$3,'Scenario Engine'!$B$82:$D$82,0))</f>
        <v>7.0000000000000007E-2</v>
      </c>
      <c r="C7" s="451"/>
      <c r="D7" s="451"/>
      <c r="E7" s="451"/>
      <c r="F7" s="451"/>
      <c r="G7" s="451"/>
      <c r="H7" s="451"/>
      <c r="I7" s="48"/>
      <c r="J7" s="48"/>
      <c r="K7" s="48"/>
    </row>
    <row r="8" spans="1:11" ht="14.25" customHeight="1" x14ac:dyDescent="0.3">
      <c r="A8" s="29" t="s">
        <v>637</v>
      </c>
      <c r="B8" s="647">
        <f>INDEX('Scenario Engine'!$B$84:$D$84,MATCH('Scenario Engine'!$B$3,'Scenario Engine'!$B$82:$D$82,0))</f>
        <v>7.2499999999999995E-2</v>
      </c>
      <c r="C8" s="451"/>
      <c r="D8" s="451"/>
      <c r="E8" s="451"/>
      <c r="F8" s="451"/>
      <c r="G8" s="451"/>
      <c r="H8" s="451"/>
      <c r="I8" s="48"/>
      <c r="J8" s="48"/>
      <c r="K8" s="48"/>
    </row>
    <row r="9" spans="1:11" ht="14.25" customHeight="1" x14ac:dyDescent="0.3">
      <c r="A9" s="29" t="s">
        <v>90</v>
      </c>
      <c r="B9" s="778">
        <f>INDEX('Scenario Engine'!$B$32:$D$32,MATCH('Scenario Engine'!$B$3,{"Bull","Base","Bear"},0))</f>
        <v>0.85</v>
      </c>
      <c r="C9" s="451"/>
      <c r="D9" s="451"/>
      <c r="E9" s="451"/>
      <c r="F9" s="451"/>
      <c r="G9" s="451"/>
      <c r="H9" s="451"/>
      <c r="I9" s="48"/>
      <c r="J9" s="48"/>
      <c r="K9" s="48"/>
    </row>
    <row r="10" spans="1:11" ht="14.25" customHeight="1" x14ac:dyDescent="0.3">
      <c r="A10" s="29" t="s">
        <v>638</v>
      </c>
      <c r="B10" s="452">
        <v>0.25169999999999998</v>
      </c>
      <c r="C10" s="451"/>
      <c r="D10" s="451"/>
      <c r="E10" s="451"/>
      <c r="F10" s="451"/>
      <c r="G10" s="451"/>
      <c r="H10" s="451"/>
      <c r="I10" s="48"/>
      <c r="J10" s="48"/>
      <c r="K10" s="48"/>
    </row>
    <row r="11" spans="1:11" ht="14.25" customHeight="1" x14ac:dyDescent="0.3">
      <c r="A11" s="29" t="s">
        <v>1140</v>
      </c>
      <c r="B11" s="453">
        <v>0.17471999999999999</v>
      </c>
      <c r="C11" s="451"/>
      <c r="D11" s="451"/>
      <c r="E11" s="451"/>
      <c r="F11" s="451"/>
      <c r="G11" s="451"/>
      <c r="H11" s="451"/>
      <c r="I11" s="48"/>
      <c r="J11" s="48"/>
      <c r="K11" s="48"/>
    </row>
    <row r="12" spans="1:11" ht="14.25" customHeight="1" x14ac:dyDescent="0.3">
      <c r="A12" s="449" t="s">
        <v>639</v>
      </c>
      <c r="B12" s="450"/>
      <c r="C12" s="451"/>
      <c r="D12" s="451"/>
      <c r="E12" s="451"/>
      <c r="F12" s="451"/>
      <c r="G12" s="451"/>
      <c r="H12" s="451"/>
      <c r="I12" s="48"/>
      <c r="J12" s="48"/>
      <c r="K12" s="48"/>
    </row>
    <row r="13" spans="1:11" ht="14.25" customHeight="1" x14ac:dyDescent="0.3">
      <c r="A13" s="29" t="s">
        <v>640</v>
      </c>
      <c r="B13" s="454">
        <f>'The 3-Statement Projection'!C36</f>
        <v>797.6</v>
      </c>
      <c r="C13" s="451"/>
      <c r="D13" s="451"/>
      <c r="E13" s="451"/>
      <c r="F13" s="451"/>
      <c r="G13" s="451"/>
      <c r="H13" s="451"/>
      <c r="I13" s="48"/>
      <c r="J13" s="48"/>
      <c r="K13" s="48"/>
    </row>
    <row r="14" spans="1:11" ht="14.25" customHeight="1" x14ac:dyDescent="0.3">
      <c r="A14" s="29" t="s">
        <v>641</v>
      </c>
      <c r="B14" s="454">
        <f>'The 3-Statement Projection'!C39+'The 3-Statement Projection'!C45</f>
        <v>545.81999999999994</v>
      </c>
      <c r="C14" s="451"/>
      <c r="D14" s="451"/>
      <c r="E14" s="451"/>
      <c r="F14" s="451"/>
      <c r="G14" s="451"/>
      <c r="H14" s="451"/>
      <c r="I14" s="48"/>
      <c r="J14" s="48"/>
      <c r="K14" s="48"/>
    </row>
    <row r="15" spans="1:11" ht="14.25" customHeight="1" x14ac:dyDescent="0.3">
      <c r="A15" s="29" t="s">
        <v>642</v>
      </c>
      <c r="B15" s="454">
        <f>INDEX('Scenario Engine'!$B$85:$D$85,MATCH('Scenario Engine'!$B$3,'Scenario Engine'!$B$82:$D$82,0))</f>
        <v>109.26</v>
      </c>
      <c r="C15" s="451"/>
      <c r="D15" s="451"/>
      <c r="E15" s="451"/>
      <c r="F15" s="451"/>
      <c r="G15" s="451"/>
      <c r="H15" s="451"/>
      <c r="I15" s="48"/>
      <c r="J15" s="48"/>
      <c r="K15" s="48"/>
    </row>
    <row r="16" spans="1:11" ht="14.25" customHeight="1" x14ac:dyDescent="0.3">
      <c r="A16" s="455" t="s">
        <v>643</v>
      </c>
      <c r="B16" s="456">
        <f>B13+B14+B15</f>
        <v>1452.68</v>
      </c>
      <c r="C16" s="451"/>
      <c r="D16" s="451"/>
      <c r="E16" s="451"/>
      <c r="F16" s="451"/>
      <c r="G16" s="451"/>
      <c r="H16" s="451"/>
      <c r="I16" s="48"/>
      <c r="J16" s="48"/>
      <c r="K16" s="48"/>
    </row>
    <row r="17" spans="1:11" ht="14.25" customHeight="1" x14ac:dyDescent="0.3">
      <c r="A17" s="29" t="s">
        <v>644</v>
      </c>
      <c r="B17" s="656">
        <f>INDEX('Scenario Engine'!$B$87:$D$87,MATCH('Scenario Engine'!$B$3,'Scenario Engine'!$B$82:$D$82,0))</f>
        <v>0.82</v>
      </c>
      <c r="C17" s="451"/>
      <c r="D17" s="451"/>
      <c r="E17" s="451"/>
      <c r="F17" s="451"/>
      <c r="G17" s="451"/>
      <c r="H17" s="451"/>
      <c r="I17" s="48"/>
      <c r="J17" s="48"/>
      <c r="K17" s="48"/>
    </row>
    <row r="18" spans="1:11" ht="14.25" customHeight="1" x14ac:dyDescent="0.3">
      <c r="A18" s="457"/>
      <c r="B18" s="451"/>
      <c r="C18" s="451"/>
      <c r="D18" s="451"/>
      <c r="E18" s="451"/>
      <c r="F18" s="451"/>
      <c r="G18" s="451"/>
      <c r="H18" s="451"/>
      <c r="I18" s="48"/>
      <c r="J18" s="48"/>
      <c r="K18" s="48"/>
    </row>
    <row r="19" spans="1:11" ht="14.25" customHeight="1" x14ac:dyDescent="0.3">
      <c r="A19" s="449" t="s">
        <v>645</v>
      </c>
      <c r="B19" s="450"/>
      <c r="C19" s="451"/>
      <c r="D19" s="451"/>
      <c r="E19" s="451"/>
      <c r="F19" s="451"/>
      <c r="G19" s="451"/>
      <c r="H19" s="451"/>
      <c r="I19" s="48"/>
      <c r="J19" s="48"/>
      <c r="K19" s="48"/>
    </row>
    <row r="20" spans="1:11" ht="14.25" customHeight="1" x14ac:dyDescent="0.3">
      <c r="A20" s="29" t="s">
        <v>646</v>
      </c>
      <c r="B20" s="458">
        <f>B9*(1+(1-B10)*B17)</f>
        <v>1.3715650999999998</v>
      </c>
      <c r="C20" s="451"/>
      <c r="D20" s="451"/>
      <c r="E20" s="451"/>
      <c r="F20" s="451"/>
      <c r="G20" s="451"/>
      <c r="H20" s="451"/>
      <c r="I20" s="48"/>
      <c r="J20" s="48"/>
      <c r="K20" s="48"/>
    </row>
    <row r="21" spans="1:11" ht="14.25" customHeight="1" x14ac:dyDescent="0.3">
      <c r="A21" s="455" t="s">
        <v>647</v>
      </c>
      <c r="B21" s="459">
        <f>B7+(B20*B8)</f>
        <v>0.16943846974999999</v>
      </c>
      <c r="C21" s="451"/>
      <c r="D21" s="451"/>
      <c r="E21" s="451"/>
      <c r="F21" s="451"/>
      <c r="G21" s="451"/>
      <c r="H21" s="451"/>
      <c r="I21" s="48"/>
      <c r="J21" s="48"/>
      <c r="K21" s="48"/>
    </row>
    <row r="22" spans="1:11" ht="14.25" customHeight="1" x14ac:dyDescent="0.3">
      <c r="A22" s="457"/>
      <c r="B22" s="451"/>
      <c r="C22" s="451"/>
      <c r="D22" s="451"/>
      <c r="E22" s="451"/>
      <c r="F22" s="451"/>
      <c r="G22" s="451"/>
      <c r="H22" s="451"/>
      <c r="I22" s="48"/>
      <c r="J22" s="48"/>
      <c r="K22" s="48"/>
    </row>
    <row r="23" spans="1:11" ht="14.25" customHeight="1" x14ac:dyDescent="0.3">
      <c r="A23" s="449" t="s">
        <v>648</v>
      </c>
      <c r="B23" s="450"/>
      <c r="C23" s="451"/>
      <c r="D23" s="451"/>
      <c r="E23" s="451"/>
      <c r="F23" s="451"/>
      <c r="G23" s="451"/>
      <c r="H23" s="451"/>
      <c r="I23" s="48"/>
      <c r="J23" s="48"/>
      <c r="K23" s="48"/>
    </row>
    <row r="24" spans="1:11" ht="14.25" customHeight="1" x14ac:dyDescent="0.3">
      <c r="A24" s="29" t="s">
        <v>92</v>
      </c>
      <c r="B24" s="779">
        <f>INDEX('Scenario Engine'!$B$33:$D$33,MATCH('Scenario Engine'!$B$3,{"Bull","Base","Bear"},0))</f>
        <v>0.09</v>
      </c>
      <c r="C24" s="451"/>
      <c r="D24" s="451"/>
      <c r="E24" s="451"/>
      <c r="F24" s="451"/>
      <c r="G24" s="451"/>
      <c r="H24" s="451"/>
      <c r="I24" s="48"/>
      <c r="J24" s="48"/>
      <c r="K24" s="48"/>
    </row>
    <row r="25" spans="1:11" ht="14.25" customHeight="1" x14ac:dyDescent="0.3">
      <c r="A25" s="29" t="s">
        <v>649</v>
      </c>
      <c r="B25" s="460">
        <f>B24*(1-B10)</f>
        <v>6.734699999999999E-2</v>
      </c>
      <c r="C25" s="451"/>
      <c r="D25" s="451"/>
      <c r="E25" s="451"/>
      <c r="F25" s="451"/>
      <c r="G25" s="451"/>
      <c r="H25" s="451"/>
      <c r="I25" s="48"/>
      <c r="J25" s="48"/>
      <c r="K25" s="48"/>
    </row>
    <row r="26" spans="1:11" ht="14.25" customHeight="1" x14ac:dyDescent="0.3">
      <c r="A26" s="29" t="s">
        <v>650</v>
      </c>
      <c r="B26" s="647">
        <f>INDEX('Scenario Engine'!$B$86:$D$86,MATCH('Scenario Engine'!$B$3,'Scenario Engine'!$B$82:$D$82,0))</f>
        <v>0.09</v>
      </c>
      <c r="C26" s="451"/>
      <c r="D26" s="451"/>
      <c r="E26" s="451"/>
      <c r="F26" s="451"/>
      <c r="G26" s="451"/>
      <c r="H26" s="451"/>
      <c r="I26" s="48"/>
      <c r="J26" s="48"/>
      <c r="K26" s="48"/>
    </row>
    <row r="27" spans="1:11" ht="14.25" customHeight="1" x14ac:dyDescent="0.3">
      <c r="A27" s="457"/>
      <c r="B27" s="451"/>
      <c r="C27" s="451"/>
      <c r="D27" s="451"/>
      <c r="E27" s="451"/>
      <c r="F27" s="451"/>
      <c r="G27" s="451"/>
      <c r="H27" s="451"/>
      <c r="I27" s="48"/>
      <c r="J27" s="48"/>
      <c r="K27" s="48"/>
    </row>
    <row r="28" spans="1:11" ht="14.25" customHeight="1" x14ac:dyDescent="0.3">
      <c r="A28" s="449" t="s">
        <v>651</v>
      </c>
      <c r="B28" s="450"/>
      <c r="C28" s="451"/>
      <c r="D28" s="451"/>
      <c r="E28" s="451"/>
      <c r="F28" s="451"/>
      <c r="G28" s="451"/>
      <c r="H28" s="451"/>
      <c r="I28" s="48"/>
      <c r="J28" s="48"/>
      <c r="K28" s="48"/>
    </row>
    <row r="29" spans="1:11" ht="14.25" customHeight="1" x14ac:dyDescent="0.3">
      <c r="A29" s="29" t="s">
        <v>652</v>
      </c>
      <c r="B29" s="461">
        <f>1/(1+B17)</f>
        <v>0.5494505494505495</v>
      </c>
      <c r="C29" s="451"/>
      <c r="D29" s="451"/>
      <c r="E29" s="451"/>
      <c r="F29" s="451"/>
      <c r="G29" s="451"/>
      <c r="H29" s="451"/>
      <c r="I29" s="48"/>
      <c r="J29" s="48"/>
      <c r="K29" s="48"/>
    </row>
    <row r="30" spans="1:11" ht="14.25" customHeight="1" x14ac:dyDescent="0.3">
      <c r="A30" s="29" t="s">
        <v>653</v>
      </c>
      <c r="B30" s="461">
        <f>(B17/(1+B17))*(B14/(B14+B15))</f>
        <v>0.37540285323762151</v>
      </c>
      <c r="C30" s="451"/>
      <c r="D30" s="451"/>
      <c r="E30" s="451"/>
      <c r="F30" s="451"/>
      <c r="G30" s="451"/>
      <c r="H30" s="451"/>
      <c r="I30" s="48"/>
      <c r="J30" s="48"/>
      <c r="K30" s="48"/>
    </row>
    <row r="31" spans="1:11" ht="14.25" customHeight="1" x14ac:dyDescent="0.3">
      <c r="A31" s="29" t="s">
        <v>654</v>
      </c>
      <c r="B31" s="461">
        <f>(B17/(1+B17))*(B15/(B14+B15))</f>
        <v>7.5146597311829044E-2</v>
      </c>
      <c r="C31" s="451"/>
      <c r="D31" s="451"/>
      <c r="E31" s="451"/>
      <c r="F31" s="451"/>
      <c r="G31" s="451"/>
      <c r="H31" s="451"/>
      <c r="I31" s="48"/>
      <c r="J31" s="48"/>
      <c r="K31" s="48"/>
    </row>
    <row r="32" spans="1:11" ht="14.25" customHeight="1" x14ac:dyDescent="0.3">
      <c r="A32" s="462" t="s">
        <v>95</v>
      </c>
      <c r="B32" s="463">
        <f>(B29*B21)+(B30*B25)+(B31*B26)</f>
        <v>0.12514351001725652</v>
      </c>
      <c r="C32" s="289"/>
      <c r="D32" s="289"/>
      <c r="E32" s="289"/>
      <c r="F32" s="289"/>
      <c r="G32" s="289"/>
      <c r="H32" s="289"/>
      <c r="I32" s="48"/>
      <c r="J32" s="48"/>
      <c r="K32" s="48"/>
    </row>
    <row r="33" spans="1:11" ht="14.25" customHeight="1" x14ac:dyDescent="0.3">
      <c r="A33" s="457"/>
      <c r="B33" s="451"/>
      <c r="C33" s="451"/>
      <c r="D33" s="451"/>
      <c r="E33" s="451"/>
      <c r="F33" s="451"/>
      <c r="G33" s="451"/>
      <c r="H33" s="451"/>
      <c r="I33" s="48"/>
      <c r="J33" s="48"/>
      <c r="K33" s="48"/>
    </row>
    <row r="34" spans="1:11" ht="27.75" customHeight="1" x14ac:dyDescent="0.3">
      <c r="A34" s="464" t="s">
        <v>655</v>
      </c>
      <c r="B34" s="465"/>
      <c r="C34" s="465"/>
      <c r="D34" s="465"/>
      <c r="E34" s="465"/>
      <c r="F34" s="465"/>
      <c r="G34" s="465"/>
      <c r="H34" s="465"/>
      <c r="I34" s="48"/>
      <c r="J34" s="48"/>
      <c r="K34" s="48"/>
    </row>
    <row r="35" spans="1:11" ht="14.25" customHeight="1" x14ac:dyDescent="0.3">
      <c r="A35" s="466" t="s">
        <v>1149</v>
      </c>
      <c r="B35" s="467" t="s">
        <v>144</v>
      </c>
      <c r="C35" s="467" t="s">
        <v>145</v>
      </c>
      <c r="D35" s="467" t="s">
        <v>146</v>
      </c>
      <c r="E35" s="467" t="s">
        <v>147</v>
      </c>
      <c r="F35" s="467" t="s">
        <v>148</v>
      </c>
      <c r="G35" s="467" t="s">
        <v>149</v>
      </c>
      <c r="H35" s="467" t="s">
        <v>1143</v>
      </c>
      <c r="I35" s="467" t="s">
        <v>1144</v>
      </c>
      <c r="J35" s="467" t="s">
        <v>1145</v>
      </c>
      <c r="K35" s="467" t="s">
        <v>1146</v>
      </c>
    </row>
    <row r="36" spans="1:11" ht="14.25" customHeight="1" x14ac:dyDescent="0.3">
      <c r="A36" s="468" t="s">
        <v>243</v>
      </c>
      <c r="B36" s="469">
        <f>'The 3-Statement Projection'!B19</f>
        <v>141.68999999999971</v>
      </c>
      <c r="C36" s="469">
        <f>'The 3-Statement Projection'!C19</f>
        <v>169.46000000000012</v>
      </c>
      <c r="D36" s="469">
        <f>'The 3-Statement Projection'!D19</f>
        <v>334.02998751133708</v>
      </c>
      <c r="E36" s="469">
        <f>'The 3-Statement Projection'!E19</f>
        <v>313.29084204325619</v>
      </c>
      <c r="F36" s="469">
        <f>'The 3-Statement Projection'!F19</f>
        <v>316.42667470901108</v>
      </c>
      <c r="G36" s="469">
        <f>'The 3-Statement Projection'!G19</f>
        <v>319.53112263658142</v>
      </c>
      <c r="H36" s="469">
        <f>'The 3-Statement Projection'!H19</f>
        <v>318.2121790143666</v>
      </c>
      <c r="I36" s="469">
        <f>'The 3-Statement Projection'!I19</f>
        <v>316.86026180159649</v>
      </c>
      <c r="J36" s="469">
        <f>'The 3-Statement Projection'!J19</f>
        <v>315.47454665850705</v>
      </c>
      <c r="K36" s="469">
        <f>'The 3-Statement Projection'!K19</f>
        <v>314.05418863684042</v>
      </c>
    </row>
    <row r="37" spans="1:11" ht="14.25" customHeight="1" x14ac:dyDescent="0.3">
      <c r="A37" s="470" t="s">
        <v>1141</v>
      </c>
      <c r="B37" s="471"/>
      <c r="C37" s="472">
        <f t="shared" ref="C37:K37" si="0">C36*$B$11</f>
        <v>29.60805120000002</v>
      </c>
      <c r="D37" s="472">
        <f t="shared" si="0"/>
        <v>58.361719417980808</v>
      </c>
      <c r="E37" s="473">
        <f t="shared" si="0"/>
        <v>54.738175921797719</v>
      </c>
      <c r="F37" s="473">
        <f t="shared" si="0"/>
        <v>55.286068605158412</v>
      </c>
      <c r="G37" s="473">
        <f t="shared" si="0"/>
        <v>55.828477747063502</v>
      </c>
      <c r="H37" s="473">
        <f t="shared" si="0"/>
        <v>55.598031917390131</v>
      </c>
      <c r="I37" s="473">
        <f t="shared" si="0"/>
        <v>55.361824941974938</v>
      </c>
      <c r="J37" s="473">
        <f t="shared" si="0"/>
        <v>55.119712792174347</v>
      </c>
      <c r="K37" s="473">
        <f t="shared" si="0"/>
        <v>54.871547838628757</v>
      </c>
    </row>
    <row r="38" spans="1:11" ht="14.25" customHeight="1" x14ac:dyDescent="0.3">
      <c r="A38" s="474" t="s">
        <v>656</v>
      </c>
      <c r="B38" s="475"/>
      <c r="C38" s="476">
        <f t="shared" ref="C38:K38" si="1">C36-C37</f>
        <v>139.85194880000012</v>
      </c>
      <c r="D38" s="476">
        <f t="shared" si="1"/>
        <v>275.66826809335629</v>
      </c>
      <c r="E38" s="476">
        <f t="shared" si="1"/>
        <v>258.55266612145846</v>
      </c>
      <c r="F38" s="476">
        <f t="shared" si="1"/>
        <v>261.14060610385269</v>
      </c>
      <c r="G38" s="476">
        <f t="shared" si="1"/>
        <v>263.7026448895179</v>
      </c>
      <c r="H38" s="476">
        <f t="shared" si="1"/>
        <v>262.61414709697647</v>
      </c>
      <c r="I38" s="476">
        <f t="shared" si="1"/>
        <v>261.49843685962156</v>
      </c>
      <c r="J38" s="476">
        <f t="shared" si="1"/>
        <v>260.35483386633268</v>
      </c>
      <c r="K38" s="476">
        <f t="shared" si="1"/>
        <v>259.18264079821165</v>
      </c>
    </row>
    <row r="39" spans="1:11" ht="14.25" customHeight="1" x14ac:dyDescent="0.3">
      <c r="A39" s="477"/>
      <c r="B39" s="478"/>
      <c r="C39" s="478"/>
      <c r="D39" s="479"/>
      <c r="E39" s="478"/>
      <c r="F39" s="48"/>
      <c r="G39" s="478"/>
      <c r="H39" s="478"/>
      <c r="I39" s="478"/>
      <c r="J39" s="478"/>
      <c r="K39" s="478"/>
    </row>
    <row r="40" spans="1:11" ht="14.25" customHeight="1" x14ac:dyDescent="0.3">
      <c r="A40" s="468" t="s">
        <v>657</v>
      </c>
      <c r="B40" s="480"/>
      <c r="C40" s="469">
        <f>'The 3-Statement Projection'!C18</f>
        <v>30.98</v>
      </c>
      <c r="D40" s="469">
        <f>'The 3-Statement Projection'!D18</f>
        <v>45.715457825000001</v>
      </c>
      <c r="E40" s="469">
        <f>'The 3-Statement Projection'!E18</f>
        <v>46.940228095625002</v>
      </c>
      <c r="F40" s="469">
        <f>'The 3-Statement Projection'!F18</f>
        <v>48.195617623015636</v>
      </c>
      <c r="G40" s="469">
        <f>'The 3-Statement Projection'!G18</f>
        <v>49.48239188859101</v>
      </c>
      <c r="H40" s="469">
        <f>'The 3-Statement Projection'!H18</f>
        <v>50.801335510805785</v>
      </c>
      <c r="I40" s="469">
        <f>'The 3-Statement Projection'!I18</f>
        <v>52.153252723575932</v>
      </c>
      <c r="J40" s="469">
        <f>'The 3-Statement Projection'!J18</f>
        <v>53.538967866665331</v>
      </c>
      <c r="K40" s="469">
        <f>'The 3-Statement Projection'!K18</f>
        <v>54.959325888331975</v>
      </c>
    </row>
    <row r="41" spans="1:11" ht="14.25" customHeight="1" x14ac:dyDescent="0.3">
      <c r="A41" s="468" t="s">
        <v>616</v>
      </c>
      <c r="B41" s="480"/>
      <c r="C41" s="469">
        <f>'Assumptions &amp; Drivers'!D60</f>
        <v>22.35125</v>
      </c>
      <c r="D41" s="469">
        <f>'Assumptions &amp; Drivers'!E60</f>
        <v>22.910031250000003</v>
      </c>
      <c r="E41" s="469">
        <f>'Assumptions &amp; Drivers'!F60</f>
        <v>23.48278203125</v>
      </c>
      <c r="F41" s="469">
        <f>'Assumptions &amp; Drivers'!G60</f>
        <v>24.069851582031252</v>
      </c>
      <c r="G41" s="469">
        <f>'Assumptions &amp; Drivers'!H60</f>
        <v>24.671597871582033</v>
      </c>
      <c r="H41" s="469">
        <f>'Assumptions &amp; Drivers'!I60</f>
        <v>25.288387818371582</v>
      </c>
      <c r="I41" s="469">
        <f>'Assumptions &amp; Drivers'!J60</f>
        <v>25.92059751383087</v>
      </c>
      <c r="J41" s="469">
        <f>'Assumptions &amp; Drivers'!K60</f>
        <v>26.568612451676643</v>
      </c>
      <c r="K41" s="469">
        <f>'Assumptions &amp; Drivers'!L60</f>
        <v>27.232827762968562</v>
      </c>
    </row>
    <row r="42" spans="1:11" ht="14.25" customHeight="1" x14ac:dyDescent="0.3">
      <c r="A42" s="481"/>
      <c r="B42" s="480"/>
      <c r="C42" s="480"/>
      <c r="D42" s="480"/>
      <c r="E42" s="480"/>
      <c r="F42" s="480"/>
      <c r="G42" s="480"/>
      <c r="H42" s="480"/>
      <c r="I42" s="480"/>
      <c r="J42" s="480"/>
      <c r="K42" s="480"/>
    </row>
    <row r="43" spans="1:11" ht="14.25" customHeight="1" x14ac:dyDescent="0.3">
      <c r="A43" s="482" t="s">
        <v>658</v>
      </c>
      <c r="B43" s="483">
        <f>'The 3-Statement Projection'!B65+'The 3-Statement Projection'!B66-'The 3-Statement Projection'!B47</f>
        <v>-203.18000000000006</v>
      </c>
      <c r="C43" s="483">
        <f>'The 3-Statement Projection'!C65+'The 3-Statement Projection'!C66-'The 3-Statement Projection'!C47</f>
        <v>66.399999999999977</v>
      </c>
      <c r="D43" s="483">
        <f>'The 3-Statement Projection'!D65+'The 3-Statement Projection'!D66-'The 3-Statement Projection'!D47</f>
        <v>207.04194879384227</v>
      </c>
      <c r="E43" s="483">
        <f>'The 3-Statement Projection'!E65+'The 3-Statement Projection'!E66-'The 3-Statement Projection'!E47</f>
        <v>203.25482513733175</v>
      </c>
      <c r="F43" s="483">
        <f>'The 3-Statement Projection'!F65+'The 3-Statement Projection'!F66-'The 3-Statement Projection'!F47</f>
        <v>192.49193175432694</v>
      </c>
      <c r="G43" s="483">
        <f>'The 3-Statement Projection'!G65+'The 3-Statement Projection'!G66-'The 3-Statement Projection'!G47</f>
        <v>186.47655888700422</v>
      </c>
      <c r="H43" s="483">
        <f>'The 3-Statement Projection'!H65+'The 3-Statement Projection'!H66-'The 3-Statement Projection'!H47</f>
        <v>186.47655888700422</v>
      </c>
      <c r="I43" s="483">
        <f>'The 3-Statement Projection'!I65+'The 3-Statement Projection'!I66-'The 3-Statement Projection'!I47</f>
        <v>186.47655888700422</v>
      </c>
      <c r="J43" s="483">
        <f>'The 3-Statement Projection'!J65+'The 3-Statement Projection'!J66-'The 3-Statement Projection'!J47</f>
        <v>186.47655888700422</v>
      </c>
      <c r="K43" s="483">
        <f>'The 3-Statement Projection'!K65+'The 3-Statement Projection'!K66-'The 3-Statement Projection'!K47</f>
        <v>186.47655888700422</v>
      </c>
    </row>
    <row r="44" spans="1:11" ht="14.25" customHeight="1" x14ac:dyDescent="0.3">
      <c r="A44" s="468" t="s">
        <v>659</v>
      </c>
      <c r="B44" s="480"/>
      <c r="C44" s="484">
        <f t="shared" ref="C44:K44" si="2">C43-B43</f>
        <v>269.58000000000004</v>
      </c>
      <c r="D44" s="484">
        <f t="shared" si="2"/>
        <v>140.64194879384229</v>
      </c>
      <c r="E44" s="484">
        <f t="shared" si="2"/>
        <v>-3.7871236565105164</v>
      </c>
      <c r="F44" s="484">
        <f t="shared" si="2"/>
        <v>-10.762893383004808</v>
      </c>
      <c r="G44" s="484">
        <f t="shared" si="2"/>
        <v>-6.0153728673227249</v>
      </c>
      <c r="H44" s="484">
        <f t="shared" si="2"/>
        <v>0</v>
      </c>
      <c r="I44" s="484">
        <f t="shared" si="2"/>
        <v>0</v>
      </c>
      <c r="J44" s="484">
        <f t="shared" si="2"/>
        <v>0</v>
      </c>
      <c r="K44" s="484">
        <f t="shared" si="2"/>
        <v>0</v>
      </c>
    </row>
    <row r="45" spans="1:11" ht="14.25" customHeight="1" x14ac:dyDescent="0.3">
      <c r="A45" s="485"/>
      <c r="B45" s="471"/>
      <c r="C45" s="471"/>
      <c r="D45" s="471"/>
      <c r="E45" s="471"/>
      <c r="F45" s="471"/>
      <c r="G45" s="471"/>
      <c r="H45" s="471"/>
      <c r="I45" s="471"/>
      <c r="J45" s="471"/>
      <c r="K45" s="471"/>
    </row>
    <row r="46" spans="1:11" ht="14.25" customHeight="1" x14ac:dyDescent="0.3">
      <c r="A46" s="486" t="s">
        <v>660</v>
      </c>
      <c r="B46" s="475"/>
      <c r="C46" s="476">
        <f t="shared" ref="C46:K46" si="3">C38+C40-C41-C44</f>
        <v>-121.09930119999993</v>
      </c>
      <c r="D46" s="476">
        <f t="shared" si="3"/>
        <v>157.83174587451401</v>
      </c>
      <c r="E46" s="476">
        <f t="shared" si="3"/>
        <v>285.79723584234398</v>
      </c>
      <c r="F46" s="476">
        <f t="shared" si="3"/>
        <v>296.02926552784186</v>
      </c>
      <c r="G46" s="476">
        <f t="shared" si="3"/>
        <v>294.52881177384961</v>
      </c>
      <c r="H46" s="476">
        <f t="shared" si="3"/>
        <v>288.12709478941065</v>
      </c>
      <c r="I46" s="476">
        <f t="shared" si="3"/>
        <v>287.73109206936658</v>
      </c>
      <c r="J46" s="476">
        <f t="shared" si="3"/>
        <v>287.32518928132134</v>
      </c>
      <c r="K46" s="476">
        <f t="shared" si="3"/>
        <v>286.90913892357509</v>
      </c>
    </row>
    <row r="47" spans="1:11" ht="14.25" customHeight="1" x14ac:dyDescent="0.3">
      <c r="A47" s="477"/>
      <c r="B47" s="478"/>
      <c r="C47" s="478"/>
      <c r="D47" s="478"/>
      <c r="E47" s="478"/>
      <c r="F47" s="478"/>
      <c r="G47" s="478"/>
      <c r="H47" s="478"/>
      <c r="I47" s="478"/>
      <c r="J47" s="478"/>
      <c r="K47" s="478"/>
    </row>
    <row r="48" spans="1:11" ht="14.25" customHeight="1" x14ac:dyDescent="0.3">
      <c r="A48" s="487" t="s">
        <v>661</v>
      </c>
      <c r="B48" s="480"/>
      <c r="C48" s="488">
        <v>0</v>
      </c>
      <c r="D48" s="489">
        <v>1</v>
      </c>
      <c r="E48" s="489">
        <v>2</v>
      </c>
      <c r="F48" s="489">
        <v>3</v>
      </c>
      <c r="G48" s="489">
        <v>4</v>
      </c>
      <c r="H48" s="489">
        <v>5</v>
      </c>
      <c r="I48" s="489">
        <v>6</v>
      </c>
      <c r="J48" s="489">
        <v>7</v>
      </c>
      <c r="K48" s="489">
        <v>8</v>
      </c>
    </row>
    <row r="49" spans="1:11" ht="14.25" customHeight="1" x14ac:dyDescent="0.3">
      <c r="A49" s="470" t="s">
        <v>662</v>
      </c>
      <c r="B49" s="471"/>
      <c r="C49" s="490">
        <f t="shared" ref="C49:K49" si="4">(1+$B$32)^C48</f>
        <v>1</v>
      </c>
      <c r="D49" s="490">
        <f t="shared" si="4"/>
        <v>1.1251435100172564</v>
      </c>
      <c r="E49" s="490">
        <f t="shared" si="4"/>
        <v>1.2659479181339521</v>
      </c>
      <c r="F49" s="490">
        <f t="shared" si="4"/>
        <v>1.4243730841082733</v>
      </c>
      <c r="G49" s="490">
        <f t="shared" si="4"/>
        <v>1.6026241314276877</v>
      </c>
      <c r="H49" s="490">
        <f t="shared" si="4"/>
        <v>1.8031821404729054</v>
      </c>
      <c r="I49" s="490">
        <f t="shared" si="4"/>
        <v>2.0288386827321143</v>
      </c>
      <c r="J49" s="490">
        <f t="shared" si="4"/>
        <v>2.2827346767479981</v>
      </c>
      <c r="K49" s="490">
        <f t="shared" si="4"/>
        <v>2.5684041066343504</v>
      </c>
    </row>
    <row r="50" spans="1:11" ht="14.25" customHeight="1" x14ac:dyDescent="0.3">
      <c r="A50" s="474" t="s">
        <v>663</v>
      </c>
      <c r="B50" s="475"/>
      <c r="C50" s="476">
        <f t="shared" ref="C50:K50" si="5">C46/C49</f>
        <v>-121.09930119999993</v>
      </c>
      <c r="D50" s="476">
        <f t="shared" si="5"/>
        <v>140.27699086323071</v>
      </c>
      <c r="E50" s="476">
        <f t="shared" si="5"/>
        <v>225.75749898433284</v>
      </c>
      <c r="F50" s="476">
        <f t="shared" si="5"/>
        <v>207.83126894957479</v>
      </c>
      <c r="G50" s="476">
        <f t="shared" si="5"/>
        <v>183.77909454755962</v>
      </c>
      <c r="H50" s="476">
        <f t="shared" si="5"/>
        <v>159.78812584836604</v>
      </c>
      <c r="I50" s="476">
        <f t="shared" si="5"/>
        <v>141.82058658399421</v>
      </c>
      <c r="J50" s="476">
        <f t="shared" si="5"/>
        <v>125.86885029084812</v>
      </c>
      <c r="K50" s="476">
        <f t="shared" si="5"/>
        <v>111.70716406443621</v>
      </c>
    </row>
    <row r="51" spans="1:11" ht="14.25" customHeight="1" x14ac:dyDescent="0.3">
      <c r="A51" s="491" t="s">
        <v>1147</v>
      </c>
      <c r="B51" s="451"/>
      <c r="C51" s="492">
        <f>SUM(D50:K50)</f>
        <v>1296.8295801323425</v>
      </c>
      <c r="D51" s="451"/>
      <c r="E51" s="451"/>
      <c r="F51" s="451"/>
      <c r="G51" s="451"/>
      <c r="H51" s="451"/>
      <c r="I51" s="48"/>
      <c r="J51" s="48"/>
      <c r="K51" s="48"/>
    </row>
    <row r="52" spans="1:11" ht="14.25" customHeight="1" x14ac:dyDescent="0.3">
      <c r="A52" s="457"/>
      <c r="B52" s="451"/>
      <c r="C52" s="451"/>
      <c r="D52" s="451"/>
      <c r="E52" s="451"/>
      <c r="F52" s="451"/>
      <c r="G52" s="451"/>
      <c r="H52" s="451"/>
      <c r="I52" s="48"/>
      <c r="J52" s="48"/>
      <c r="K52" s="48"/>
    </row>
    <row r="53" spans="1:11" ht="27.75" customHeight="1" x14ac:dyDescent="0.3">
      <c r="A53" s="464" t="s">
        <v>664</v>
      </c>
      <c r="B53" s="465"/>
      <c r="C53" s="465"/>
      <c r="D53" s="465"/>
      <c r="E53" s="465"/>
      <c r="F53" s="465"/>
      <c r="G53" s="465"/>
      <c r="H53" s="465"/>
      <c r="I53" s="48"/>
      <c r="J53" s="48"/>
      <c r="K53" s="48"/>
    </row>
    <row r="54" spans="1:11" ht="14.25" customHeight="1" x14ac:dyDescent="0.3">
      <c r="A54" s="457"/>
      <c r="B54" s="451"/>
      <c r="C54" s="451"/>
      <c r="D54" s="451"/>
      <c r="E54" s="451"/>
      <c r="F54" s="451"/>
      <c r="G54" s="451"/>
      <c r="H54" s="451"/>
      <c r="I54" s="48"/>
      <c r="J54" s="48"/>
      <c r="K54" s="48"/>
    </row>
    <row r="55" spans="1:11" ht="14.25" customHeight="1" x14ac:dyDescent="0.3">
      <c r="A55" s="449" t="s">
        <v>665</v>
      </c>
      <c r="B55" s="450"/>
      <c r="C55" s="451"/>
      <c r="D55" s="451"/>
      <c r="E55" s="451"/>
      <c r="F55" s="451"/>
      <c r="G55" s="451"/>
      <c r="H55" s="451"/>
      <c r="I55" s="48"/>
      <c r="J55" s="48"/>
      <c r="K55" s="48"/>
    </row>
    <row r="56" spans="1:11" ht="14.25" customHeight="1" x14ac:dyDescent="0.3">
      <c r="A56" s="29" t="s">
        <v>88</v>
      </c>
      <c r="B56" s="780">
        <f>INDEX('Scenario Engine'!$B$31:$D$31,MATCH('Scenario Engine'!$B$3,{"Bull","Base","Bear"},0))</f>
        <v>0</v>
      </c>
      <c r="C56" s="451"/>
      <c r="D56" s="451"/>
      <c r="E56" s="451"/>
      <c r="F56" s="451"/>
      <c r="G56" s="451"/>
      <c r="H56" s="451"/>
      <c r="I56" s="48"/>
      <c r="J56" s="48"/>
      <c r="K56" s="48"/>
    </row>
    <row r="57" spans="1:11" ht="14.25" customHeight="1" x14ac:dyDescent="0.3">
      <c r="A57" s="462" t="s">
        <v>1148</v>
      </c>
      <c r="B57" s="493">
        <f>K46</f>
        <v>286.90913892357509</v>
      </c>
      <c r="C57" s="289"/>
      <c r="D57" s="289"/>
      <c r="E57" s="289"/>
      <c r="F57" s="289"/>
      <c r="G57" s="289"/>
      <c r="H57" s="289"/>
      <c r="I57" s="48"/>
      <c r="J57" s="48"/>
      <c r="K57" s="48"/>
    </row>
    <row r="58" spans="1:11" ht="14.25" customHeight="1" x14ac:dyDescent="0.3">
      <c r="A58" s="30" t="s">
        <v>1142</v>
      </c>
      <c r="B58" s="32">
        <f>K36*(1-$B$10)+K40-K41-(K43-J43)</f>
        <v>262.73324748231107</v>
      </c>
      <c r="C58" s="451"/>
      <c r="D58" s="451"/>
      <c r="E58" s="451"/>
      <c r="F58" s="451"/>
      <c r="G58" s="451"/>
      <c r="H58" s="451"/>
      <c r="I58" s="48"/>
      <c r="J58" s="48"/>
      <c r="K58" s="48"/>
    </row>
    <row r="59" spans="1:11" ht="14.25" customHeight="1" x14ac:dyDescent="0.3">
      <c r="A59" s="455" t="s">
        <v>666</v>
      </c>
      <c r="B59" s="456">
        <f>(B58*(1+B56))/(B32-B56)</f>
        <v>2099.4556365414537</v>
      </c>
      <c r="C59" s="451"/>
      <c r="D59" s="451"/>
      <c r="E59" s="451"/>
      <c r="F59" s="451"/>
      <c r="G59" s="451"/>
      <c r="H59" s="451"/>
      <c r="I59" s="48"/>
      <c r="J59" s="48"/>
      <c r="K59" s="48"/>
    </row>
    <row r="60" spans="1:11" ht="14.25" customHeight="1" x14ac:dyDescent="0.3">
      <c r="A60" s="455" t="s">
        <v>667</v>
      </c>
      <c r="B60" s="494">
        <f>B59/(1+B32)^8</f>
        <v>817.41639920230114</v>
      </c>
      <c r="C60" s="451"/>
      <c r="D60" s="451"/>
      <c r="E60" s="451"/>
      <c r="F60" s="451"/>
      <c r="G60" s="451"/>
      <c r="H60" s="451"/>
      <c r="I60" s="48"/>
      <c r="J60" s="48"/>
      <c r="K60" s="48"/>
    </row>
    <row r="61" spans="1:11" ht="14.25" customHeight="1" x14ac:dyDescent="0.3">
      <c r="A61" s="457"/>
      <c r="B61" s="451"/>
      <c r="C61" s="451"/>
      <c r="D61" s="451"/>
      <c r="E61" s="451"/>
      <c r="F61" s="451"/>
      <c r="G61" s="451"/>
      <c r="H61" s="451"/>
      <c r="I61" s="48"/>
      <c r="J61" s="48"/>
      <c r="K61" s="48"/>
    </row>
    <row r="62" spans="1:11" ht="14.25" customHeight="1" x14ac:dyDescent="0.3">
      <c r="A62" s="449" t="s">
        <v>668</v>
      </c>
      <c r="B62" s="450"/>
      <c r="C62" s="451"/>
      <c r="D62" s="451"/>
      <c r="E62" s="451"/>
      <c r="F62" s="451"/>
      <c r="G62" s="451"/>
      <c r="H62" s="451"/>
      <c r="I62" s="48"/>
      <c r="J62" s="48"/>
      <c r="K62" s="48"/>
    </row>
    <row r="63" spans="1:11" ht="14.25" customHeight="1" x14ac:dyDescent="0.3">
      <c r="A63" s="29" t="s">
        <v>669</v>
      </c>
      <c r="B63" s="32">
        <f>C51</f>
        <v>1296.8295801323425</v>
      </c>
      <c r="C63" s="451"/>
      <c r="D63" s="451"/>
      <c r="E63" s="451"/>
      <c r="F63" s="451"/>
      <c r="G63" s="451"/>
      <c r="H63" s="451"/>
      <c r="I63" s="48"/>
      <c r="J63" s="48"/>
      <c r="K63" s="48"/>
    </row>
    <row r="64" spans="1:11" ht="14.25" customHeight="1" x14ac:dyDescent="0.3">
      <c r="A64" s="29" t="s">
        <v>667</v>
      </c>
      <c r="B64" s="32">
        <f>B60</f>
        <v>817.41639920230114</v>
      </c>
      <c r="C64" s="451"/>
      <c r="D64" s="451"/>
      <c r="E64" s="451"/>
      <c r="F64" s="451"/>
      <c r="G64" s="451"/>
      <c r="H64" s="451"/>
      <c r="I64" s="48"/>
      <c r="J64" s="48"/>
      <c r="K64" s="48"/>
    </row>
    <row r="65" spans="1:11" ht="14.25" customHeight="1" x14ac:dyDescent="0.3">
      <c r="A65" s="495" t="s">
        <v>670</v>
      </c>
      <c r="B65" s="496">
        <f>B63+B64</f>
        <v>2114.2459793346434</v>
      </c>
      <c r="C65" s="451"/>
      <c r="D65" s="451"/>
      <c r="E65" s="451"/>
      <c r="F65" s="451"/>
      <c r="G65" s="451"/>
      <c r="H65" s="451"/>
      <c r="I65" s="48"/>
      <c r="J65" s="48"/>
      <c r="K65" s="48"/>
    </row>
    <row r="66" spans="1:11" ht="14.25" customHeight="1" x14ac:dyDescent="0.3">
      <c r="A66" s="457"/>
      <c r="B66" s="451"/>
      <c r="C66" s="451"/>
      <c r="D66" s="451"/>
      <c r="E66" s="451"/>
      <c r="F66" s="451"/>
      <c r="G66" s="451"/>
      <c r="H66" s="451"/>
      <c r="I66" s="48"/>
      <c r="J66" s="48"/>
      <c r="K66" s="48"/>
    </row>
    <row r="67" spans="1:11" ht="14.25" customHeight="1" x14ac:dyDescent="0.3">
      <c r="A67" s="497" t="s">
        <v>671</v>
      </c>
      <c r="B67" s="498">
        <f>B64/B65</f>
        <v>0.38662313051177866</v>
      </c>
      <c r="C67" s="289"/>
      <c r="D67" s="289"/>
      <c r="E67" s="289"/>
      <c r="F67" s="289"/>
      <c r="G67" s="289"/>
      <c r="H67" s="289"/>
      <c r="I67" s="48"/>
      <c r="J67" s="48"/>
      <c r="K67" s="48"/>
    </row>
    <row r="68" spans="1:11" ht="14.25" customHeight="1" x14ac:dyDescent="0.3">
      <c r="A68" s="457"/>
      <c r="B68" s="451"/>
      <c r="C68" s="451"/>
      <c r="D68" s="451"/>
      <c r="E68" s="451"/>
      <c r="F68" s="451"/>
      <c r="G68" s="451"/>
      <c r="H68" s="451"/>
      <c r="I68" s="48"/>
      <c r="J68" s="48"/>
      <c r="K68" s="48"/>
    </row>
    <row r="69" spans="1:11" ht="27.75" customHeight="1" x14ac:dyDescent="0.3">
      <c r="A69" s="464" t="s">
        <v>672</v>
      </c>
      <c r="B69" s="465"/>
      <c r="C69" s="465"/>
      <c r="D69" s="465"/>
      <c r="E69" s="465"/>
      <c r="F69" s="465"/>
      <c r="G69" s="465"/>
      <c r="H69" s="465"/>
      <c r="I69" s="48"/>
      <c r="J69" s="48"/>
      <c r="K69" s="48"/>
    </row>
    <row r="70" spans="1:11" ht="14.25" customHeight="1" x14ac:dyDescent="0.3">
      <c r="A70" s="457"/>
      <c r="B70" s="451"/>
      <c r="C70" s="451"/>
      <c r="D70" s="451"/>
      <c r="E70" s="451"/>
      <c r="F70" s="451"/>
      <c r="G70" s="451"/>
      <c r="H70" s="451"/>
      <c r="I70" s="48"/>
      <c r="J70" s="48"/>
      <c r="K70" s="48"/>
    </row>
    <row r="71" spans="1:11" ht="14.25" customHeight="1" x14ac:dyDescent="0.3">
      <c r="A71" s="29" t="s">
        <v>673</v>
      </c>
      <c r="B71" s="32">
        <f>B65</f>
        <v>2114.2459793346434</v>
      </c>
      <c r="C71" s="451"/>
      <c r="D71" s="451"/>
      <c r="E71" s="451"/>
      <c r="F71" s="451"/>
      <c r="G71" s="451"/>
      <c r="H71" s="451"/>
      <c r="I71" s="48"/>
      <c r="J71" s="48"/>
      <c r="K71" s="48"/>
    </row>
    <row r="72" spans="1:11" ht="14.25" customHeight="1" x14ac:dyDescent="0.3">
      <c r="A72" s="29" t="s">
        <v>674</v>
      </c>
      <c r="B72" s="454">
        <f>'The 3-Statement Projection'!C67</f>
        <v>210.18</v>
      </c>
      <c r="C72" s="451"/>
      <c r="D72" s="451"/>
      <c r="E72" s="451"/>
      <c r="F72" s="451"/>
      <c r="G72" s="451"/>
      <c r="H72" s="451"/>
      <c r="I72" s="48"/>
      <c r="J72" s="48"/>
      <c r="K72" s="48"/>
    </row>
    <row r="73" spans="1:11" ht="14.25" customHeight="1" x14ac:dyDescent="0.3">
      <c r="A73" s="29" t="s">
        <v>675</v>
      </c>
      <c r="B73" s="454">
        <f>'The 3-Statement Projection'!C39+'The 3-Statement Projection'!C45+'The 3-Statement Projection'!C46</f>
        <v>545.81999999999994</v>
      </c>
      <c r="C73" s="451"/>
      <c r="D73" s="451"/>
      <c r="E73" s="451"/>
      <c r="F73" s="451"/>
      <c r="G73" s="451"/>
      <c r="H73" s="451"/>
      <c r="I73" s="48"/>
      <c r="J73" s="48"/>
      <c r="K73" s="48"/>
    </row>
    <row r="74" spans="1:11" ht="14.25" customHeight="1" x14ac:dyDescent="0.3">
      <c r="A74" s="29" t="s">
        <v>676</v>
      </c>
      <c r="B74" s="781">
        <f>B15</f>
        <v>109.26</v>
      </c>
      <c r="C74" s="451"/>
      <c r="D74" s="451"/>
      <c r="E74" s="451"/>
      <c r="F74" s="451"/>
      <c r="G74" s="451"/>
      <c r="H74" s="451"/>
      <c r="I74" s="48"/>
      <c r="J74" s="48"/>
      <c r="K74" s="48"/>
    </row>
    <row r="75" spans="1:11" ht="14.25" customHeight="1" x14ac:dyDescent="0.3">
      <c r="A75" s="457"/>
      <c r="B75" s="451"/>
      <c r="C75" s="451"/>
      <c r="D75" s="451"/>
      <c r="E75" s="451"/>
      <c r="F75" s="451"/>
      <c r="G75" s="451"/>
      <c r="H75" s="451"/>
      <c r="I75" s="48"/>
      <c r="J75" s="48"/>
      <c r="K75" s="48"/>
    </row>
    <row r="76" spans="1:11" ht="14.25" customHeight="1" x14ac:dyDescent="0.3">
      <c r="A76" s="495" t="s">
        <v>677</v>
      </c>
      <c r="B76" s="496">
        <f>B71+B72-B73-B74</f>
        <v>1669.3459793346433</v>
      </c>
      <c r="C76" s="451"/>
      <c r="D76" s="451"/>
      <c r="E76" s="451"/>
      <c r="F76" s="451"/>
      <c r="G76" s="451"/>
      <c r="H76" s="451"/>
      <c r="I76" s="48"/>
      <c r="J76" s="48"/>
      <c r="K76" s="48"/>
    </row>
    <row r="77" spans="1:11" ht="14.25" customHeight="1" x14ac:dyDescent="0.3">
      <c r="A77" s="457"/>
      <c r="B77" s="451"/>
      <c r="C77" s="451"/>
      <c r="D77" s="451"/>
      <c r="E77" s="451"/>
      <c r="F77" s="451"/>
      <c r="G77" s="451"/>
      <c r="H77" s="451"/>
      <c r="I77" s="48"/>
      <c r="J77" s="48"/>
      <c r="K77" s="48"/>
    </row>
    <row r="78" spans="1:11" ht="27.75" customHeight="1" x14ac:dyDescent="0.3">
      <c r="A78" s="464" t="s">
        <v>678</v>
      </c>
      <c r="B78" s="465"/>
      <c r="C78" s="465"/>
      <c r="D78" s="465"/>
      <c r="E78" s="465"/>
      <c r="F78" s="465"/>
      <c r="G78" s="465"/>
      <c r="H78" s="465"/>
      <c r="I78" s="48"/>
      <c r="J78" s="48"/>
      <c r="K78" s="48"/>
    </row>
    <row r="79" spans="1:11" ht="14.25" customHeight="1" x14ac:dyDescent="0.3">
      <c r="A79" s="457"/>
      <c r="B79" s="451"/>
      <c r="C79" s="451"/>
      <c r="D79" s="451"/>
      <c r="E79" s="451"/>
      <c r="F79" s="451"/>
      <c r="G79" s="451"/>
      <c r="H79" s="451"/>
      <c r="I79" s="48"/>
      <c r="J79" s="48"/>
      <c r="K79" s="48"/>
    </row>
    <row r="80" spans="1:11" ht="14.25" customHeight="1" x14ac:dyDescent="0.3">
      <c r="A80" s="29" t="s">
        <v>679</v>
      </c>
      <c r="B80" s="878">
        <f>INDEX('Scenario Engine'!$B$88:$D$88,MATCH('Scenario Engine'!$B$3,'Scenario Engine'!$B$82:$D$82,0))</f>
        <v>3.2429999999999999</v>
      </c>
      <c r="C80" s="451"/>
      <c r="D80" s="451"/>
      <c r="E80" s="451"/>
      <c r="F80" s="451"/>
      <c r="G80" s="451"/>
      <c r="H80" s="451"/>
      <c r="I80" s="48"/>
      <c r="J80" s="48"/>
      <c r="K80" s="48"/>
    </row>
    <row r="81" spans="1:11" ht="14.25" customHeight="1" x14ac:dyDescent="0.3">
      <c r="A81" s="495" t="s">
        <v>680</v>
      </c>
      <c r="B81" s="499">
        <f>B76/B80</f>
        <v>514.75361681610957</v>
      </c>
      <c r="C81" s="451"/>
      <c r="D81" s="451"/>
      <c r="E81" s="451"/>
      <c r="F81" s="451"/>
      <c r="G81" s="451"/>
      <c r="H81" s="451"/>
      <c r="I81" s="48"/>
      <c r="J81" s="48"/>
      <c r="K81" s="48"/>
    </row>
    <row r="82" spans="1:11" ht="14.25" customHeight="1" x14ac:dyDescent="0.3">
      <c r="A82" s="462"/>
      <c r="B82" s="289"/>
      <c r="C82" s="289"/>
      <c r="D82" s="289"/>
      <c r="E82" s="289"/>
      <c r="F82" s="289"/>
      <c r="G82" s="289"/>
      <c r="H82" s="289"/>
      <c r="I82" s="48"/>
      <c r="J82" s="48"/>
      <c r="K82" s="48"/>
    </row>
    <row r="83" spans="1:11" ht="27.75" customHeight="1" x14ac:dyDescent="0.3">
      <c r="A83" s="464" t="s">
        <v>681</v>
      </c>
      <c r="B83" s="465"/>
      <c r="C83" s="465"/>
      <c r="D83" s="465"/>
      <c r="E83" s="465"/>
      <c r="F83" s="465"/>
      <c r="G83" s="465"/>
      <c r="H83" s="465"/>
      <c r="I83" s="48"/>
      <c r="J83" s="48"/>
      <c r="K83" s="48"/>
    </row>
    <row r="84" spans="1:11" ht="14.25" customHeight="1" x14ac:dyDescent="0.3">
      <c r="A84" s="500" t="s">
        <v>682</v>
      </c>
      <c r="B84" s="501">
        <v>0.02</v>
      </c>
      <c r="C84" s="501">
        <v>2.5000000000000001E-2</v>
      </c>
      <c r="D84" s="502">
        <v>0.03</v>
      </c>
      <c r="E84" s="503">
        <v>3.5000000000000003E-2</v>
      </c>
      <c r="F84" s="501">
        <v>0.04</v>
      </c>
      <c r="G84" s="501">
        <v>4.4999999999999998E-2</v>
      </c>
      <c r="H84" s="504">
        <v>0.05</v>
      </c>
      <c r="I84" s="48"/>
      <c r="J84" s="48"/>
      <c r="K84" s="48"/>
    </row>
    <row r="85" spans="1:11" ht="14.25" customHeight="1" x14ac:dyDescent="0.3">
      <c r="A85" s="505">
        <f>$B$32-0.02</f>
        <v>0.10514351001725651</v>
      </c>
      <c r="B85" s="506">
        <f>($D$46/(1+$A85)^1+$E$46/(1+$A85)^2+$F$46/(1+$A85)^3+$G$46/(1+$A85)^4+$H$46/(1+$A85)^5+$I$46/(1+$A85)^6+$J$46/(1+$A85)^7+$K$46/(1+$A85)^8+(($K$46*(1+B$84))/($A85-B$84))/(1+$A85)^8+$B$72-$B$73-$B$74)/$B$80</f>
        <v>770.19617797042849</v>
      </c>
      <c r="C85" s="506">
        <f t="shared" ref="C85:G85" si="6">($D$46/(1+$A85)^1+$E$46/(1+$A85)^2+$F$46/(1+$A85)^3+$G$46/(1+$A85)^4+$H$46/(1+$A85)^5+$I$46/(1+$A85)^6+$J$46/(1+$A85)^7+$K$46/(1+$A85)^8+(($K$46*(1+C$84))/($A85-C$84))/(1+$A85)^8+$B$72-$B$73-$B$74)/$B$80</f>
        <v>802.39328010996144</v>
      </c>
      <c r="D85" s="506">
        <f t="shared" si="6"/>
        <v>838.87513047753691</v>
      </c>
      <c r="E85" s="506">
        <f t="shared" si="6"/>
        <v>880.55801089886916</v>
      </c>
      <c r="F85" s="506">
        <f t="shared" si="6"/>
        <v>928.63951497592598</v>
      </c>
      <c r="G85" s="506">
        <f t="shared" si="6"/>
        <v>984.71548164142496</v>
      </c>
      <c r="H85" s="506">
        <f t="shared" ref="H85:H91" si="7">($D$46/(1+$A85)^1+$E$46/(1+$A85)^2+$F$46/(1+$A85)^3+$G$46/(1+$A85)^4+$H$46/(1+$A85)^5+$I$46/(1+$A85)^6+$J$46/(1+$A85)^7+$K$46/(1+$A85)^8+(($K$46*(1+H$84))/($A85-H$84))/(1+$A85)^8+$B$72-$B$73-$B$74)/$B$80</f>
        <v>1050.9605446607745</v>
      </c>
      <c r="I85" s="48"/>
      <c r="J85" s="48"/>
      <c r="K85" s="48"/>
    </row>
    <row r="86" spans="1:11" ht="14.25" customHeight="1" x14ac:dyDescent="0.3">
      <c r="A86" s="505">
        <f>$B$32-0.01</f>
        <v>0.11514351001725652</v>
      </c>
      <c r="B86" s="506">
        <f t="shared" ref="B86:C91" si="8">($D$46/(1+$A86)^1+$E$46/(1+$A86)^2+$F$46/(1+$A86)^3+$G$46/(1+$A86)^4+$H$46/(1+$A86)^5+$I$46/(1+$A86)^6+$J$46/(1+$A86)^7+$K$46/(1+$A86)^8+(($K$46*(1+B$84))/($A86-B$84))/(1+$A86)^8+$B$72-$B$73-$B$74)/$B$80</f>
        <v>674.46621394209762</v>
      </c>
      <c r="C86" s="506">
        <f>($D$46/(1+$A86)^1+$E$46/(1+$A86)^2+$F$46/(1+$A86)^3+$G$46/(1+$A86)^4+$H$46/(1+$A86)^5+$I$46/(1+$A86)^6+$J$46/(1+$A86)^7+$K$46/(1+$A86)^8+(($K$46*(1+C$84))/($A86-C$84))/(1+$A86)^8+$B$72-$B$73-$B$74)/$B$80</f>
        <v>698.5175095089063</v>
      </c>
      <c r="D86" s="506">
        <f>($D$46/(1+$A86)^1+$E$46/(1+$A86)^2+$F$46/(1+$A86)^3+$G$46/(1+$A86)^4+$H$46/(1+$A86)^5+$I$46/(1+$A86)^6+$J$46/(1+$A86)^7+$K$46/(1+$A86)^8+(($K$46*(1+D$84))/($A86-D$84))/(1+$A86)^8+$B$72-$B$73-$B$74)/$B$80</f>
        <v>725.39360000863871</v>
      </c>
      <c r="E86" s="506">
        <f>($D$46/(1+$A86)^1+$E$46/(1+$A86)^2+$F$46/(1+$A86)^3+$G$46/(1+$A86)^4+$H$46/(1+$A86)^5+$I$46/(1+$A86)^6+$J$46/(1+$A86)^7+$K$46/(1+$A86)^8+(($K$46*(1+E$84))/($A86-E$84))/(1+$A86)^8+$B$72-$B$73-$B$74)/$B$80</f>
        <v>755.6231860682667</v>
      </c>
      <c r="F86" s="506">
        <f>($D$46/(1+$A86)^1+$E$46/(1+$A86)^2+$F$46/(1+$A86)^3+$G$46/(1+$A86)^4+$H$46/(1+$A86)^5+$I$46/(1+$A86)^6+$J$46/(1+$A86)^7+$K$46/(1+$A86)^8+(($K$46*(1+F$84))/($A86-F$84))/(1+$A86)^8+$B$72-$B$73-$B$74)/$B$80</f>
        <v>789.87568589019895</v>
      </c>
      <c r="G86" s="506">
        <f>($D$46/(1+$A86)^1+$E$46/(1+$A86)^2+$F$46/(1+$A86)^3+$G$46/(1+$A86)^4+$H$46/(1+$A86)^5+$I$46/(1+$A86)^6+$J$46/(1+$A86)^7+$K$46/(1+$A86)^8+(($K$46*(1+G$84))/($A86-G$84))/(1+$A86)^8+$B$72-$B$73-$B$74)/$B$80</f>
        <v>829.01138870746274</v>
      </c>
      <c r="H86" s="506">
        <f t="shared" si="7"/>
        <v>874.15470499334367</v>
      </c>
      <c r="I86" s="48"/>
      <c r="J86" s="48"/>
      <c r="K86" s="48"/>
    </row>
    <row r="87" spans="1:11" ht="14.25" customHeight="1" x14ac:dyDescent="0.3">
      <c r="A87" s="507">
        <f>$B$32</f>
        <v>0.12514351001725652</v>
      </c>
      <c r="B87" s="506">
        <f t="shared" si="8"/>
        <v>596.85592458152269</v>
      </c>
      <c r="C87" s="506">
        <f t="shared" si="8"/>
        <v>615.25969136762978</v>
      </c>
      <c r="D87" s="506">
        <f t="shared" ref="D87:G91" si="9">($D$46/(1+$A87)^1+$E$46/(1+$A87)^2+$F$46/(1+$A87)^3+$G$46/(1+$A87)^4+$H$46/(1+$A87)^5+$I$46/(1+$A87)^6+$J$46/(1+$A87)^7+$K$46/(1+$A87)^8+(($K$46*(1+D$84))/($A87-D$84))/(1+$A87)^8+$B$72-$B$73-$B$74)/$B$80</f>
        <v>635.59777472275709</v>
      </c>
      <c r="E87" s="506">
        <f t="shared" si="9"/>
        <v>658.19204749753646</v>
      </c>
      <c r="F87" s="506">
        <f t="shared" si="9"/>
        <v>683.43998967943867</v>
      </c>
      <c r="G87" s="506">
        <f t="shared" si="9"/>
        <v>711.83827331462396</v>
      </c>
      <c r="H87" s="506">
        <f t="shared" si="7"/>
        <v>744.01576338143138</v>
      </c>
      <c r="I87" s="48"/>
      <c r="J87" s="48"/>
      <c r="K87" s="48"/>
    </row>
    <row r="88" spans="1:11" ht="14.25" customHeight="1" x14ac:dyDescent="0.3">
      <c r="A88" s="505">
        <f>$B$32+0.01</f>
        <v>0.13514351001725652</v>
      </c>
      <c r="B88" s="506">
        <f t="shared" si="8"/>
        <v>532.65135553838786</v>
      </c>
      <c r="C88" s="506">
        <f t="shared" si="8"/>
        <v>547.01331404600921</v>
      </c>
      <c r="D88" s="506">
        <f t="shared" si="9"/>
        <v>562.74121121263727</v>
      </c>
      <c r="E88" s="506">
        <f t="shared" si="9"/>
        <v>580.03964421967237</v>
      </c>
      <c r="F88" s="506">
        <f t="shared" si="9"/>
        <v>599.15621836990226</v>
      </c>
      <c r="G88" s="506">
        <f t="shared" si="9"/>
        <v>620.39347476853516</v>
      </c>
      <c r="H88" s="506">
        <f t="shared" si="7"/>
        <v>644.1250206784091</v>
      </c>
      <c r="I88" s="48"/>
      <c r="J88" s="48"/>
      <c r="K88" s="48"/>
    </row>
    <row r="89" spans="1:11" ht="14.25" customHeight="1" x14ac:dyDescent="0.3">
      <c r="A89" s="505">
        <f>$B$32+0.02</f>
        <v>0.14514351001725651</v>
      </c>
      <c r="B89" s="506">
        <f t="shared" si="8"/>
        <v>478.64476826009428</v>
      </c>
      <c r="C89" s="506">
        <f t="shared" si="8"/>
        <v>490.03780183595461</v>
      </c>
      <c r="D89" s="506">
        <f t="shared" si="9"/>
        <v>502.42029921868971</v>
      </c>
      <c r="E89" s="506">
        <f t="shared" si="9"/>
        <v>515.92701148987317</v>
      </c>
      <c r="F89" s="506">
        <f t="shared" si="9"/>
        <v>530.71832157113226</v>
      </c>
      <c r="G89" s="506">
        <f t="shared" si="9"/>
        <v>546.98664300127552</v>
      </c>
      <c r="H89" s="506">
        <f t="shared" si="7"/>
        <v>564.96483633200285</v>
      </c>
      <c r="I89" s="48"/>
      <c r="J89" s="48"/>
      <c r="K89" s="48"/>
    </row>
    <row r="90" spans="1:11" ht="14.25" customHeight="1" x14ac:dyDescent="0.3">
      <c r="A90" s="505">
        <f>$B$32+0.03</f>
        <v>0.15514351001725651</v>
      </c>
      <c r="B90" s="506">
        <f t="shared" si="8"/>
        <v>432.57741596252464</v>
      </c>
      <c r="C90" s="506">
        <f t="shared" si="8"/>
        <v>441.74169133369674</v>
      </c>
      <c r="D90" s="506">
        <f t="shared" si="9"/>
        <v>451.63826799399754</v>
      </c>
      <c r="E90" s="506">
        <f t="shared" si="9"/>
        <v>462.35857426390271</v>
      </c>
      <c r="F90" s="506">
        <f t="shared" si="9"/>
        <v>474.0099192235524</v>
      </c>
      <c r="G90" s="506">
        <f t="shared" si="9"/>
        <v>486.71909727366949</v>
      </c>
      <c r="H90" s="506">
        <f t="shared" si="7"/>
        <v>500.63702116535433</v>
      </c>
      <c r="I90" s="48"/>
      <c r="J90" s="48"/>
      <c r="K90" s="48"/>
    </row>
    <row r="91" spans="1:11" ht="15" customHeight="1" x14ac:dyDescent="0.3">
      <c r="A91" s="508">
        <f>$B$32+0.04</f>
        <v>0.16514351001725652</v>
      </c>
      <c r="B91" s="506">
        <f>($D$46/(1+$A91)^1+$E$46/(1+$A91)^2+$F$46/(1+$A91)^3+$G$46/(1+$A91)^4+$H$46/(1+$A91)^5+$I$46/(1+$A91)^6+$J$46/(1+$A91)^7+$K$46/(1+$A91)^8+(($K$46*(1+B$84))/($A91-B$84))/(1+$A91)^8+$B$72-$B$73-$B$74)/$B$80</f>
        <v>392.81266350150037</v>
      </c>
      <c r="C91" s="506">
        <f t="shared" si="8"/>
        <v>400.27269880282245</v>
      </c>
      <c r="D91" s="506">
        <f t="shared" si="9"/>
        <v>408.28474250620337</v>
      </c>
      <c r="E91" s="506">
        <f t="shared" si="9"/>
        <v>416.91241765385053</v>
      </c>
      <c r="F91" s="506">
        <f t="shared" si="9"/>
        <v>426.22951530103103</v>
      </c>
      <c r="G91" s="506">
        <f t="shared" si="9"/>
        <v>436.3221103217976</v>
      </c>
      <c r="H91" s="506">
        <f t="shared" si="7"/>
        <v>447.29122847610904</v>
      </c>
      <c r="I91" s="48"/>
      <c r="J91" s="48"/>
      <c r="K91" s="48"/>
    </row>
    <row r="92" spans="1:11" ht="14.25" customHeight="1" x14ac:dyDescent="0.3">
      <c r="A92" s="48"/>
      <c r="B92" s="48"/>
      <c r="C92" s="48"/>
      <c r="D92" s="48"/>
      <c r="E92" s="48"/>
      <c r="F92" s="48"/>
      <c r="G92" s="48"/>
      <c r="H92" s="48"/>
      <c r="I92" s="48"/>
      <c r="J92" s="48"/>
      <c r="K92" s="48"/>
    </row>
    <row r="93" spans="1:11" ht="15" customHeight="1" x14ac:dyDescent="0.3">
      <c r="A93" s="509" t="s">
        <v>683</v>
      </c>
      <c r="B93" s="510"/>
      <c r="C93" s="48"/>
      <c r="D93" s="48"/>
      <c r="E93" s="48"/>
      <c r="F93" s="48"/>
      <c r="G93" s="48"/>
      <c r="H93" s="48"/>
      <c r="I93" s="48"/>
      <c r="J93" s="48"/>
      <c r="K93" s="48"/>
    </row>
    <row r="94" spans="1:11" ht="14.25" customHeight="1" x14ac:dyDescent="0.3">
      <c r="A94" s="48"/>
      <c r="B94" s="48"/>
      <c r="C94" s="48"/>
      <c r="D94" s="48"/>
      <c r="E94" s="48"/>
      <c r="F94" s="48"/>
      <c r="G94" s="48"/>
      <c r="H94" s="48"/>
      <c r="I94" s="48"/>
      <c r="J94" s="48"/>
      <c r="K94" s="48"/>
    </row>
    <row r="95" spans="1:11" ht="14.25" customHeight="1" x14ac:dyDescent="0.3">
      <c r="A95" s="58" t="s">
        <v>684</v>
      </c>
      <c r="B95" s="615">
        <f>'Comparable Company Analysis'!G7</f>
        <v>10.622950819672131</v>
      </c>
      <c r="C95" s="48"/>
      <c r="D95" s="48"/>
      <c r="E95" s="48"/>
      <c r="F95" s="48"/>
      <c r="G95" s="48"/>
      <c r="H95" s="48"/>
      <c r="I95" s="48"/>
      <c r="J95" s="48"/>
      <c r="K95" s="48"/>
    </row>
    <row r="96" spans="1:11" ht="14.25" customHeight="1" x14ac:dyDescent="0.3">
      <c r="A96" s="58" t="s">
        <v>1151</v>
      </c>
      <c r="B96" s="75">
        <f>'The 3-Statement Projection'!K15</f>
        <v>369.01351452517241</v>
      </c>
      <c r="C96" s="48"/>
      <c r="D96" s="48"/>
      <c r="E96" s="48"/>
      <c r="F96" s="48"/>
      <c r="G96" s="48"/>
      <c r="H96" s="48"/>
      <c r="I96" s="48"/>
      <c r="J96" s="48"/>
      <c r="K96" s="48"/>
    </row>
    <row r="97" spans="1:11" ht="14.25" customHeight="1" x14ac:dyDescent="0.3">
      <c r="A97" s="48"/>
      <c r="B97" s="48"/>
      <c r="C97" s="48"/>
      <c r="D97" s="48"/>
      <c r="E97" s="48"/>
      <c r="F97" s="48"/>
      <c r="G97" s="48"/>
      <c r="H97" s="48"/>
      <c r="I97" s="48"/>
      <c r="J97" s="48"/>
      <c r="K97" s="48"/>
    </row>
    <row r="98" spans="1:11" ht="14.25" customHeight="1" x14ac:dyDescent="0.3">
      <c r="A98" s="163" t="s">
        <v>685</v>
      </c>
      <c r="B98" s="511">
        <f>B95*B96</f>
        <v>3920.0124165952739</v>
      </c>
      <c r="C98" s="48"/>
      <c r="D98" s="48"/>
      <c r="E98" s="48"/>
      <c r="F98" s="48"/>
      <c r="G98" s="48"/>
      <c r="H98" s="48"/>
      <c r="I98" s="48"/>
      <c r="J98" s="48"/>
      <c r="K98" s="48"/>
    </row>
    <row r="99" spans="1:11" ht="14.25" customHeight="1" x14ac:dyDescent="0.3">
      <c r="A99" s="58" t="s">
        <v>686</v>
      </c>
      <c r="B99" s="512">
        <f>B59</f>
        <v>2099.4556365414537</v>
      </c>
      <c r="C99" s="48"/>
      <c r="D99" s="48"/>
      <c r="E99" s="48"/>
      <c r="F99" s="48"/>
      <c r="G99" s="48"/>
      <c r="H99" s="48"/>
      <c r="I99" s="48"/>
      <c r="J99" s="48"/>
      <c r="K99" s="48"/>
    </row>
    <row r="100" spans="1:11" ht="14.25" customHeight="1" x14ac:dyDescent="0.3">
      <c r="A100" s="60" t="s">
        <v>687</v>
      </c>
      <c r="B100" s="513">
        <f>B98/B99-1</f>
        <v>0.86715658495786152</v>
      </c>
      <c r="C100" s="48"/>
      <c r="D100" s="48"/>
      <c r="E100" s="48"/>
      <c r="F100" s="48"/>
      <c r="G100" s="48"/>
      <c r="H100" s="48"/>
      <c r="I100" s="48"/>
      <c r="J100" s="48"/>
      <c r="K100" s="48"/>
    </row>
    <row r="101" spans="1:11" ht="14.25" customHeight="1" x14ac:dyDescent="0.3">
      <c r="A101" s="48"/>
      <c r="B101" s="48"/>
      <c r="C101" s="48"/>
      <c r="D101" s="48"/>
      <c r="E101" s="48"/>
      <c r="F101" s="48"/>
      <c r="G101" s="48"/>
      <c r="H101" s="48"/>
      <c r="I101" s="48"/>
      <c r="J101" s="48"/>
      <c r="K101" s="48"/>
    </row>
    <row r="102" spans="1:11" ht="14.25" customHeight="1" x14ac:dyDescent="0.3">
      <c r="A102" s="60" t="s">
        <v>688</v>
      </c>
      <c r="B102" s="48"/>
      <c r="C102" s="48"/>
      <c r="D102" s="48"/>
      <c r="E102" s="48"/>
      <c r="F102" s="48"/>
      <c r="G102" s="48"/>
      <c r="H102" s="48"/>
      <c r="I102" s="48"/>
      <c r="J102" s="48"/>
      <c r="K102" s="48"/>
    </row>
    <row r="103" spans="1:11" x14ac:dyDescent="0.3">
      <c r="A103" s="48"/>
      <c r="B103" s="48"/>
      <c r="C103" s="48"/>
      <c r="D103" s="48"/>
      <c r="E103" s="48"/>
      <c r="F103" s="48"/>
      <c r="G103" s="48"/>
      <c r="H103" s="48"/>
      <c r="I103" s="48"/>
      <c r="J103" s="48"/>
      <c r="K103" s="48"/>
    </row>
    <row r="104" spans="1:11" ht="15" thickBot="1" x14ac:dyDescent="0.35">
      <c r="A104" s="514" t="s">
        <v>1106</v>
      </c>
      <c r="B104" s="515"/>
      <c r="C104" s="515"/>
      <c r="D104" s="515"/>
      <c r="E104" s="515"/>
      <c r="F104" s="515"/>
      <c r="G104" s="515"/>
      <c r="H104" s="515"/>
      <c r="I104" s="48"/>
      <c r="J104" s="48"/>
      <c r="K104" s="48"/>
    </row>
    <row r="105" spans="1:11" x14ac:dyDescent="0.3">
      <c r="A105" s="60" t="s">
        <v>1150</v>
      </c>
      <c r="B105" s="48"/>
      <c r="C105" s="48"/>
      <c r="D105" s="48"/>
      <c r="E105" s="48"/>
      <c r="F105" s="48"/>
      <c r="G105" s="48"/>
      <c r="H105" s="48"/>
      <c r="I105" s="48"/>
      <c r="J105" s="48"/>
      <c r="K105" s="48"/>
    </row>
    <row r="106" spans="1:11" x14ac:dyDescent="0.3">
      <c r="A106" s="48"/>
      <c r="B106" s="48"/>
      <c r="C106" s="48"/>
      <c r="D106" s="48"/>
      <c r="E106" s="48"/>
      <c r="F106" s="48"/>
      <c r="G106" s="48"/>
      <c r="H106" s="48"/>
      <c r="I106" s="48"/>
      <c r="J106" s="48"/>
      <c r="K106" s="48"/>
    </row>
    <row r="107" spans="1:11" x14ac:dyDescent="0.3">
      <c r="A107" s="516" t="s">
        <v>1107</v>
      </c>
      <c r="B107" s="517"/>
      <c r="C107" s="48"/>
      <c r="D107" s="48"/>
      <c r="E107" s="48"/>
      <c r="F107" s="48"/>
      <c r="G107" s="48"/>
      <c r="H107" s="48"/>
      <c r="I107" s="48"/>
      <c r="J107" s="48"/>
      <c r="K107" s="48"/>
    </row>
    <row r="108" spans="1:11" x14ac:dyDescent="0.3">
      <c r="A108" s="518" t="s">
        <v>1108</v>
      </c>
      <c r="B108" s="175">
        <f>INDEX('Scenario Engine'!$B$89:$D$89,MATCH('Scenario Engine'!$B$3,'Scenario Engine'!$B$82:$D$82,0))</f>
        <v>0.14099999999999999</v>
      </c>
      <c r="C108" s="48"/>
      <c r="D108" s="48"/>
      <c r="E108" s="48"/>
      <c r="F108" s="48"/>
      <c r="G108" s="48"/>
      <c r="H108" s="48"/>
      <c r="I108" s="48"/>
      <c r="J108" s="48"/>
      <c r="K108" s="48"/>
    </row>
    <row r="109" spans="1:11" x14ac:dyDescent="0.3">
      <c r="A109" s="518" t="s">
        <v>88</v>
      </c>
      <c r="B109" s="519">
        <v>0</v>
      </c>
      <c r="C109" s="48"/>
      <c r="D109" s="48"/>
      <c r="E109" s="48"/>
      <c r="F109" s="48"/>
      <c r="G109" s="48"/>
      <c r="H109" s="48"/>
      <c r="I109" s="48"/>
      <c r="J109" s="48"/>
      <c r="K109" s="48"/>
    </row>
    <row r="110" spans="1:11" x14ac:dyDescent="0.3">
      <c r="A110" s="518" t="s">
        <v>1109</v>
      </c>
      <c r="B110" s="520">
        <f>B10</f>
        <v>0.25169999999999998</v>
      </c>
      <c r="C110" s="48"/>
      <c r="D110" s="48"/>
      <c r="E110" s="48"/>
      <c r="F110" s="48"/>
      <c r="G110" s="48"/>
      <c r="H110" s="48"/>
      <c r="I110" s="48"/>
      <c r="J110" s="48"/>
      <c r="K110" s="48"/>
    </row>
    <row r="111" spans="1:11" x14ac:dyDescent="0.3">
      <c r="A111" s="48"/>
      <c r="B111" s="48"/>
      <c r="C111" s="48"/>
      <c r="D111" s="48"/>
      <c r="E111" s="48"/>
      <c r="F111" s="48"/>
      <c r="G111" s="48"/>
      <c r="H111" s="48"/>
      <c r="I111" s="48"/>
      <c r="J111" s="48"/>
      <c r="K111" s="48"/>
    </row>
    <row r="112" spans="1:11" x14ac:dyDescent="0.3">
      <c r="A112" s="521" t="s">
        <v>1110</v>
      </c>
      <c r="B112" s="157"/>
      <c r="C112" s="157"/>
      <c r="D112" s="157"/>
      <c r="E112" s="157"/>
      <c r="F112" s="157"/>
      <c r="G112" s="157"/>
      <c r="H112" s="48"/>
      <c r="I112" s="48"/>
      <c r="J112" s="48"/>
      <c r="K112" s="48"/>
    </row>
    <row r="113" spans="1:11" x14ac:dyDescent="0.3">
      <c r="A113" s="48"/>
      <c r="B113" s="48"/>
      <c r="C113" s="62" t="s">
        <v>145</v>
      </c>
      <c r="D113" s="62" t="s">
        <v>146</v>
      </c>
      <c r="E113" s="62" t="s">
        <v>147</v>
      </c>
      <c r="F113" s="62" t="s">
        <v>148</v>
      </c>
      <c r="G113" s="62" t="s">
        <v>149</v>
      </c>
      <c r="H113" s="62" t="s">
        <v>1143</v>
      </c>
      <c r="I113" s="62" t="s">
        <v>1144</v>
      </c>
      <c r="J113" s="62" t="s">
        <v>1145</v>
      </c>
      <c r="K113" s="62" t="s">
        <v>1146</v>
      </c>
    </row>
    <row r="114" spans="1:11" x14ac:dyDescent="0.3">
      <c r="A114" s="522" t="s">
        <v>660</v>
      </c>
      <c r="B114" s="523"/>
      <c r="C114" s="524">
        <f t="shared" ref="C114:K114" si="10">C46</f>
        <v>-121.09930119999993</v>
      </c>
      <c r="D114" s="524">
        <f t="shared" si="10"/>
        <v>157.83174587451401</v>
      </c>
      <c r="E114" s="524">
        <f t="shared" si="10"/>
        <v>285.79723584234398</v>
      </c>
      <c r="F114" s="524">
        <f t="shared" si="10"/>
        <v>296.02926552784186</v>
      </c>
      <c r="G114" s="524">
        <f t="shared" si="10"/>
        <v>294.52881177384961</v>
      </c>
      <c r="H114" s="524">
        <f t="shared" si="10"/>
        <v>288.12709478941065</v>
      </c>
      <c r="I114" s="524">
        <f t="shared" si="10"/>
        <v>287.73109206936658</v>
      </c>
      <c r="J114" s="524">
        <f t="shared" si="10"/>
        <v>287.32518928132134</v>
      </c>
      <c r="K114" s="524">
        <f t="shared" si="10"/>
        <v>286.90913892357509</v>
      </c>
    </row>
    <row r="115" spans="1:11" x14ac:dyDescent="0.3">
      <c r="A115" s="48"/>
      <c r="B115" s="48"/>
      <c r="C115" s="48"/>
      <c r="D115" s="48"/>
      <c r="E115" s="48"/>
      <c r="F115" s="48"/>
      <c r="G115" s="48"/>
      <c r="H115" s="48"/>
      <c r="I115" s="48"/>
      <c r="J115" s="48"/>
      <c r="K115" s="48"/>
    </row>
    <row r="116" spans="1:11" x14ac:dyDescent="0.3">
      <c r="A116" s="525" t="s">
        <v>661</v>
      </c>
      <c r="B116" s="526"/>
      <c r="C116" s="527">
        <v>0</v>
      </c>
      <c r="D116" s="528">
        <v>1</v>
      </c>
      <c r="E116" s="528">
        <v>2</v>
      </c>
      <c r="F116" s="528">
        <v>3</v>
      </c>
      <c r="G116" s="528">
        <v>4</v>
      </c>
      <c r="H116" s="528">
        <v>5</v>
      </c>
      <c r="I116" s="528">
        <v>6</v>
      </c>
      <c r="J116" s="528">
        <v>7</v>
      </c>
      <c r="K116" s="528">
        <v>8</v>
      </c>
    </row>
    <row r="117" spans="1:11" x14ac:dyDescent="0.3">
      <c r="A117" s="529" t="s">
        <v>662</v>
      </c>
      <c r="B117" s="526"/>
      <c r="C117" s="530">
        <f t="shared" ref="C117:K117" si="11">(1+$B$108)^C116</f>
        <v>1</v>
      </c>
      <c r="D117" s="530">
        <f t="shared" si="11"/>
        <v>1.141</v>
      </c>
      <c r="E117" s="530">
        <f t="shared" si="11"/>
        <v>1.3018810000000001</v>
      </c>
      <c r="F117" s="530">
        <f t="shared" si="11"/>
        <v>1.4854462210000001</v>
      </c>
      <c r="G117" s="530">
        <f t="shared" si="11"/>
        <v>1.6948941381610001</v>
      </c>
      <c r="H117" s="530">
        <f t="shared" si="11"/>
        <v>1.9338742116417011</v>
      </c>
      <c r="I117" s="530">
        <f t="shared" si="11"/>
        <v>2.2065504754831813</v>
      </c>
      <c r="J117" s="530">
        <f t="shared" si="11"/>
        <v>2.5176740925263097</v>
      </c>
      <c r="K117" s="530">
        <f t="shared" si="11"/>
        <v>2.8726661395725195</v>
      </c>
    </row>
    <row r="118" spans="1:11" x14ac:dyDescent="0.3">
      <c r="A118" s="531" t="s">
        <v>663</v>
      </c>
      <c r="B118" s="532"/>
      <c r="C118" s="533">
        <f t="shared" ref="C118:K118" si="12">C114/C117</f>
        <v>-121.09930119999993</v>
      </c>
      <c r="D118" s="533">
        <f t="shared" si="12"/>
        <v>138.32755992507802</v>
      </c>
      <c r="E118" s="533">
        <f t="shared" si="12"/>
        <v>219.52638977167956</v>
      </c>
      <c r="F118" s="533">
        <f t="shared" si="12"/>
        <v>199.28642406761477</v>
      </c>
      <c r="G118" s="533">
        <f t="shared" si="12"/>
        <v>173.77416390938745</v>
      </c>
      <c r="H118" s="533">
        <f t="shared" si="12"/>
        <v>148.98957391071175</v>
      </c>
      <c r="I118" s="533">
        <f t="shared" si="12"/>
        <v>130.39859965422292</v>
      </c>
      <c r="J118" s="533">
        <f t="shared" si="12"/>
        <v>114.12326564992796</v>
      </c>
      <c r="K118" s="533">
        <f t="shared" si="12"/>
        <v>99.875559840124666</v>
      </c>
    </row>
    <row r="119" spans="1:11" x14ac:dyDescent="0.3">
      <c r="A119" s="534" t="s">
        <v>1147</v>
      </c>
      <c r="B119" s="526"/>
      <c r="C119" s="535">
        <f>SUM(D118:K118)</f>
        <v>1224.3015367287471</v>
      </c>
      <c r="D119" s="526"/>
      <c r="E119" s="526"/>
      <c r="F119" s="526"/>
      <c r="G119" s="526"/>
      <c r="H119" s="48"/>
      <c r="I119" s="48"/>
      <c r="J119" s="48"/>
      <c r="K119" s="48"/>
    </row>
    <row r="120" spans="1:11" x14ac:dyDescent="0.3">
      <c r="A120" s="48"/>
      <c r="B120" s="48"/>
      <c r="C120" s="48"/>
      <c r="D120" s="48"/>
      <c r="E120" s="48"/>
      <c r="F120" s="48"/>
      <c r="G120" s="48"/>
      <c r="H120" s="48"/>
      <c r="I120" s="48"/>
      <c r="J120" s="48"/>
      <c r="K120" s="48"/>
    </row>
    <row r="121" spans="1:11" x14ac:dyDescent="0.3">
      <c r="A121" s="516" t="s">
        <v>1111</v>
      </c>
      <c r="B121" s="517"/>
      <c r="C121" s="517"/>
      <c r="D121" s="48"/>
      <c r="E121" s="48"/>
      <c r="F121" s="48"/>
      <c r="G121" s="48"/>
      <c r="H121" s="48"/>
      <c r="I121" s="48"/>
      <c r="J121" s="48"/>
      <c r="K121" s="48"/>
    </row>
    <row r="122" spans="1:11" x14ac:dyDescent="0.3">
      <c r="A122" s="48"/>
      <c r="B122" s="48"/>
      <c r="C122" s="48"/>
      <c r="D122" s="48"/>
      <c r="E122" s="48"/>
      <c r="F122" s="48"/>
      <c r="G122" s="48"/>
      <c r="H122" s="48"/>
      <c r="I122" s="48"/>
      <c r="J122" s="48"/>
      <c r="K122" s="48"/>
    </row>
    <row r="123" spans="1:11" x14ac:dyDescent="0.3">
      <c r="A123" s="516" t="s">
        <v>665</v>
      </c>
      <c r="B123" s="517"/>
      <c r="C123" s="48"/>
      <c r="D123" s="48"/>
      <c r="E123" s="48"/>
      <c r="F123" s="48"/>
      <c r="G123" s="48"/>
      <c r="H123" s="48"/>
      <c r="I123" s="48"/>
      <c r="J123" s="48"/>
      <c r="K123" s="48"/>
    </row>
    <row r="124" spans="1:11" x14ac:dyDescent="0.3">
      <c r="A124" s="518" t="s">
        <v>88</v>
      </c>
      <c r="B124" s="782">
        <f>B109</f>
        <v>0</v>
      </c>
      <c r="C124" s="48"/>
      <c r="D124" s="48"/>
      <c r="E124" s="48"/>
      <c r="F124" s="48"/>
      <c r="G124" s="48"/>
      <c r="H124" s="48"/>
      <c r="I124" s="48"/>
      <c r="J124" s="48"/>
      <c r="K124" s="48"/>
    </row>
    <row r="125" spans="1:11" x14ac:dyDescent="0.3">
      <c r="A125" s="536" t="s">
        <v>1148</v>
      </c>
      <c r="B125" s="537">
        <f>K114</f>
        <v>286.90913892357509</v>
      </c>
      <c r="C125" s="48"/>
      <c r="D125" s="48"/>
      <c r="E125" s="48"/>
      <c r="F125" s="48"/>
      <c r="G125" s="48"/>
      <c r="H125" s="48"/>
      <c r="I125" s="48"/>
      <c r="J125" s="48"/>
      <c r="K125" s="48"/>
    </row>
    <row r="126" spans="1:11" x14ac:dyDescent="0.3">
      <c r="A126" s="48"/>
      <c r="B126" s="48"/>
      <c r="C126" s="48"/>
      <c r="D126" s="48"/>
      <c r="E126" s="48"/>
      <c r="F126" s="48"/>
      <c r="G126" s="48"/>
      <c r="H126" s="48"/>
      <c r="I126" s="48"/>
      <c r="J126" s="48"/>
      <c r="K126" s="48"/>
    </row>
    <row r="127" spans="1:11" x14ac:dyDescent="0.3">
      <c r="A127" s="538" t="s">
        <v>666</v>
      </c>
      <c r="B127" s="539">
        <f>(B125*(1+B124))/(B108-B124)</f>
        <v>2034.8165881104617</v>
      </c>
      <c r="C127" s="48"/>
      <c r="D127" s="48"/>
      <c r="E127" s="48"/>
      <c r="F127" s="48"/>
      <c r="G127" s="48"/>
      <c r="H127" s="48"/>
      <c r="I127" s="48"/>
      <c r="J127" s="48"/>
      <c r="K127" s="48"/>
    </row>
    <row r="128" spans="1:11" x14ac:dyDescent="0.3">
      <c r="A128" s="538" t="s">
        <v>667</v>
      </c>
      <c r="B128" s="539">
        <f>B127/(1+B108)^8</f>
        <v>708.33730383067143</v>
      </c>
      <c r="C128" s="48"/>
      <c r="D128" s="48"/>
      <c r="E128" s="48"/>
      <c r="F128" s="48"/>
      <c r="G128" s="48"/>
      <c r="H128" s="48"/>
      <c r="I128" s="48"/>
      <c r="J128" s="48"/>
      <c r="K128" s="48"/>
    </row>
    <row r="129" spans="1:11" x14ac:dyDescent="0.3">
      <c r="A129" s="48"/>
      <c r="B129" s="48"/>
      <c r="C129" s="48"/>
      <c r="D129" s="48"/>
      <c r="E129" s="48"/>
      <c r="F129" s="48"/>
      <c r="G129" s="48"/>
      <c r="H129" s="48"/>
      <c r="I129" s="48"/>
      <c r="J129" s="48"/>
      <c r="K129" s="48"/>
    </row>
    <row r="130" spans="1:11" x14ac:dyDescent="0.3">
      <c r="A130" s="516" t="s">
        <v>668</v>
      </c>
      <c r="B130" s="517"/>
      <c r="C130" s="48"/>
      <c r="D130" s="48"/>
      <c r="E130" s="48"/>
      <c r="F130" s="48"/>
      <c r="G130" s="48"/>
      <c r="H130" s="48"/>
      <c r="I130" s="48"/>
      <c r="J130" s="48"/>
      <c r="K130" s="48"/>
    </row>
    <row r="131" spans="1:11" x14ac:dyDescent="0.3">
      <c r="A131" s="518" t="s">
        <v>669</v>
      </c>
      <c r="B131" s="512">
        <f>C119</f>
        <v>1224.3015367287471</v>
      </c>
      <c r="C131" s="48"/>
      <c r="D131" s="48"/>
      <c r="E131" s="48"/>
      <c r="F131" s="48"/>
      <c r="G131" s="48"/>
      <c r="H131" s="48"/>
      <c r="I131" s="48"/>
      <c r="J131" s="48"/>
      <c r="K131" s="48"/>
    </row>
    <row r="132" spans="1:11" x14ac:dyDescent="0.3">
      <c r="A132" s="518" t="s">
        <v>667</v>
      </c>
      <c r="B132" s="512">
        <f>B128</f>
        <v>708.33730383067143</v>
      </c>
      <c r="C132" s="48"/>
      <c r="D132" s="48"/>
      <c r="E132" s="48"/>
      <c r="F132" s="48"/>
      <c r="G132" s="48"/>
      <c r="H132" s="48"/>
      <c r="I132" s="48"/>
      <c r="J132" s="48"/>
      <c r="K132" s="48"/>
    </row>
    <row r="133" spans="1:11" x14ac:dyDescent="0.3">
      <c r="A133" s="540" t="s">
        <v>670</v>
      </c>
      <c r="B133" s="541">
        <f>B131+B132</f>
        <v>1932.6388405594184</v>
      </c>
      <c r="C133" s="48"/>
      <c r="D133" s="48"/>
      <c r="E133" s="48"/>
      <c r="F133" s="48"/>
      <c r="G133" s="48"/>
      <c r="H133" s="48"/>
      <c r="I133" s="48"/>
      <c r="J133" s="48"/>
      <c r="K133" s="48"/>
    </row>
    <row r="134" spans="1:11" x14ac:dyDescent="0.3">
      <c r="A134" s="48"/>
      <c r="B134" s="48"/>
      <c r="C134" s="48"/>
      <c r="D134" s="48"/>
      <c r="E134" s="48"/>
      <c r="F134" s="48"/>
      <c r="G134" s="48"/>
      <c r="H134" s="48"/>
      <c r="I134" s="48"/>
      <c r="J134" s="48"/>
      <c r="K134" s="48"/>
    </row>
    <row r="135" spans="1:11" x14ac:dyDescent="0.3">
      <c r="A135" s="536" t="s">
        <v>671</v>
      </c>
      <c r="B135" s="542">
        <f>B132/B133</f>
        <v>0.36651302300518668</v>
      </c>
      <c r="C135" s="48"/>
      <c r="D135" s="48"/>
      <c r="E135" s="48"/>
      <c r="F135" s="48"/>
      <c r="G135" s="48"/>
      <c r="H135" s="48"/>
      <c r="I135" s="48"/>
      <c r="J135" s="48"/>
      <c r="K135" s="48"/>
    </row>
    <row r="136" spans="1:11" x14ac:dyDescent="0.3">
      <c r="A136" s="48"/>
      <c r="B136" s="48"/>
      <c r="C136" s="48"/>
      <c r="D136" s="48"/>
      <c r="E136" s="48"/>
      <c r="F136" s="48"/>
      <c r="G136" s="48"/>
      <c r="H136" s="48"/>
      <c r="I136" s="48"/>
      <c r="J136" s="48"/>
      <c r="K136" s="48"/>
    </row>
    <row r="137" spans="1:11" ht="15" thickBot="1" x14ac:dyDescent="0.35">
      <c r="A137" s="514" t="s">
        <v>1112</v>
      </c>
      <c r="B137" s="515"/>
      <c r="C137" s="515"/>
      <c r="D137" s="515"/>
      <c r="E137" s="515"/>
      <c r="F137" s="515"/>
      <c r="G137" s="515"/>
      <c r="H137" s="515"/>
      <c r="I137" s="48"/>
      <c r="J137" s="48"/>
      <c r="K137" s="48"/>
    </row>
    <row r="138" spans="1:11" x14ac:dyDescent="0.3">
      <c r="A138" s="48"/>
      <c r="B138" s="48"/>
      <c r="C138" s="48"/>
      <c r="D138" s="48"/>
      <c r="E138" s="48"/>
      <c r="F138" s="48"/>
      <c r="G138" s="48"/>
      <c r="H138" s="48"/>
      <c r="I138" s="48"/>
      <c r="J138" s="48"/>
      <c r="K138" s="48"/>
    </row>
    <row r="139" spans="1:11" x14ac:dyDescent="0.3">
      <c r="A139" s="518" t="s">
        <v>673</v>
      </c>
      <c r="B139" s="512">
        <f>B133</f>
        <v>1932.6388405594184</v>
      </c>
      <c r="C139" s="48"/>
      <c r="D139" s="48"/>
      <c r="E139" s="48"/>
      <c r="F139" s="48"/>
      <c r="G139" s="48"/>
      <c r="H139" s="48"/>
      <c r="I139" s="48"/>
      <c r="J139" s="48"/>
      <c r="K139" s="48"/>
    </row>
    <row r="140" spans="1:11" x14ac:dyDescent="0.3">
      <c r="A140" s="518" t="s">
        <v>674</v>
      </c>
      <c r="B140" s="75">
        <f>B72</f>
        <v>210.18</v>
      </c>
      <c r="C140" s="48"/>
      <c r="D140" s="48"/>
      <c r="E140" s="48"/>
      <c r="F140" s="48"/>
      <c r="G140" s="48"/>
      <c r="H140" s="48"/>
      <c r="I140" s="48"/>
      <c r="J140" s="48"/>
      <c r="K140" s="48"/>
    </row>
    <row r="141" spans="1:11" x14ac:dyDescent="0.3">
      <c r="A141" s="518" t="s">
        <v>675</v>
      </c>
      <c r="B141" s="75">
        <f>B73</f>
        <v>545.81999999999994</v>
      </c>
      <c r="C141" s="48"/>
      <c r="D141" s="48"/>
      <c r="E141" s="48"/>
      <c r="F141" s="48"/>
      <c r="G141" s="48"/>
      <c r="H141" s="48"/>
      <c r="I141" s="48"/>
      <c r="J141" s="48"/>
      <c r="K141" s="48"/>
    </row>
    <row r="142" spans="1:11" x14ac:dyDescent="0.3">
      <c r="A142" s="518" t="s">
        <v>676</v>
      </c>
      <c r="B142" s="783">
        <f>B74</f>
        <v>109.26</v>
      </c>
      <c r="C142" s="48"/>
      <c r="D142" s="48"/>
      <c r="E142" s="48"/>
      <c r="F142" s="48"/>
      <c r="G142" s="48"/>
      <c r="H142" s="48"/>
      <c r="I142" s="48"/>
      <c r="J142" s="48"/>
      <c r="K142" s="48"/>
    </row>
    <row r="143" spans="1:11" x14ac:dyDescent="0.3">
      <c r="A143" s="48"/>
      <c r="B143" s="48"/>
      <c r="C143" s="48"/>
      <c r="D143" s="48"/>
      <c r="E143" s="48"/>
      <c r="F143" s="48"/>
      <c r="G143" s="48"/>
      <c r="H143" s="48"/>
      <c r="I143" s="48"/>
      <c r="J143" s="48"/>
      <c r="K143" s="48"/>
    </row>
    <row r="144" spans="1:11" x14ac:dyDescent="0.3">
      <c r="A144" s="540" t="s">
        <v>677</v>
      </c>
      <c r="B144" s="541">
        <f>B139+B140-B141-B142</f>
        <v>1487.7388405594183</v>
      </c>
      <c r="C144" s="48"/>
      <c r="D144" s="48"/>
      <c r="E144" s="48"/>
      <c r="F144" s="48"/>
      <c r="G144" s="48"/>
      <c r="H144" s="48"/>
      <c r="I144" s="48"/>
      <c r="J144" s="48"/>
      <c r="K144" s="48"/>
    </row>
    <row r="145" spans="1:11" x14ac:dyDescent="0.3">
      <c r="A145" s="48"/>
      <c r="B145" s="48"/>
      <c r="C145" s="48"/>
      <c r="D145" s="48"/>
      <c r="E145" s="48"/>
      <c r="F145" s="48"/>
      <c r="G145" s="48"/>
      <c r="H145" s="48"/>
      <c r="I145" s="48"/>
      <c r="J145" s="48"/>
      <c r="K145" s="48"/>
    </row>
    <row r="146" spans="1:11" ht="15" thickBot="1" x14ac:dyDescent="0.35">
      <c r="A146" s="514" t="s">
        <v>1113</v>
      </c>
      <c r="B146" s="515"/>
      <c r="C146" s="515"/>
      <c r="D146" s="515"/>
      <c r="E146" s="515"/>
      <c r="F146" s="515"/>
      <c r="G146" s="515"/>
      <c r="H146" s="515"/>
      <c r="I146" s="48"/>
      <c r="J146" s="48"/>
      <c r="K146" s="48"/>
    </row>
    <row r="147" spans="1:11" x14ac:dyDescent="0.3">
      <c r="A147" s="48"/>
      <c r="B147" s="48"/>
      <c r="C147" s="48"/>
      <c r="D147" s="48"/>
      <c r="E147" s="48"/>
      <c r="F147" s="48"/>
      <c r="G147" s="48"/>
      <c r="H147" s="48"/>
      <c r="I147" s="48"/>
      <c r="J147" s="48"/>
      <c r="K147" s="48"/>
    </row>
    <row r="148" spans="1:11" x14ac:dyDescent="0.3">
      <c r="A148" s="518" t="s">
        <v>679</v>
      </c>
      <c r="B148" s="879">
        <f>B80</f>
        <v>3.2429999999999999</v>
      </c>
      <c r="C148" s="48"/>
      <c r="D148" s="48"/>
      <c r="E148" s="48"/>
      <c r="F148" s="48"/>
      <c r="G148" s="48"/>
      <c r="H148" s="48"/>
      <c r="I148" s="48"/>
      <c r="J148" s="48"/>
      <c r="K148" s="48"/>
    </row>
    <row r="149" spans="1:11" x14ac:dyDescent="0.3">
      <c r="A149" s="540" t="s">
        <v>680</v>
      </c>
      <c r="B149" s="543">
        <f>B144/B148</f>
        <v>458.75388238033253</v>
      </c>
      <c r="C149" s="48"/>
      <c r="D149" s="48"/>
      <c r="E149" s="48"/>
      <c r="F149" s="48"/>
      <c r="G149" s="48"/>
      <c r="H149" s="48"/>
      <c r="I149" s="48"/>
      <c r="J149" s="48"/>
      <c r="K149" s="48"/>
    </row>
    <row r="150" spans="1:11" x14ac:dyDescent="0.3">
      <c r="A150" s="48"/>
      <c r="B150" s="48"/>
      <c r="C150" s="48"/>
      <c r="D150" s="48"/>
      <c r="E150" s="48"/>
      <c r="F150" s="48"/>
      <c r="G150" s="48"/>
      <c r="H150" s="48"/>
      <c r="I150" s="48"/>
      <c r="J150" s="48"/>
      <c r="K150" s="48"/>
    </row>
    <row r="151" spans="1:11" x14ac:dyDescent="0.3">
      <c r="A151" s="48"/>
      <c r="B151" s="48"/>
      <c r="C151" s="48"/>
      <c r="D151" s="48"/>
      <c r="E151" s="48"/>
      <c r="F151" s="48"/>
      <c r="G151" s="48"/>
      <c r="H151" s="48"/>
      <c r="I151" s="48"/>
      <c r="J151" s="48"/>
      <c r="K151" s="48"/>
    </row>
    <row r="152" spans="1:11" ht="15" thickBot="1" x14ac:dyDescent="0.35">
      <c r="A152" s="514" t="s">
        <v>1114</v>
      </c>
      <c r="B152" s="515"/>
      <c r="C152" s="515"/>
      <c r="D152" s="515"/>
      <c r="E152" s="515"/>
      <c r="F152" s="515"/>
      <c r="G152" s="515"/>
      <c r="H152" s="515"/>
      <c r="I152" s="48"/>
      <c r="J152" s="48"/>
      <c r="K152" s="48"/>
    </row>
    <row r="153" spans="1:11" x14ac:dyDescent="0.3">
      <c r="A153" s="48"/>
      <c r="B153" s="48"/>
      <c r="C153" s="48"/>
      <c r="D153" s="48"/>
      <c r="E153" s="48"/>
      <c r="F153" s="48"/>
      <c r="G153" s="48"/>
      <c r="H153" s="48"/>
      <c r="I153" s="48"/>
      <c r="J153" s="48"/>
      <c r="K153" s="48"/>
    </row>
    <row r="154" spans="1:11" x14ac:dyDescent="0.3">
      <c r="A154" s="521" t="s">
        <v>1115</v>
      </c>
      <c r="B154" s="34" t="s">
        <v>95</v>
      </c>
      <c r="C154" s="34" t="s">
        <v>97</v>
      </c>
      <c r="D154" s="34" t="s">
        <v>1116</v>
      </c>
      <c r="E154" s="34" t="s">
        <v>1117</v>
      </c>
      <c r="F154" s="34" t="s">
        <v>1118</v>
      </c>
      <c r="G154" s="48"/>
      <c r="H154" s="48"/>
      <c r="I154" s="48"/>
      <c r="J154" s="48"/>
      <c r="K154" s="48"/>
    </row>
    <row r="155" spans="1:11" x14ac:dyDescent="0.3">
      <c r="A155" s="544" t="s">
        <v>1119</v>
      </c>
      <c r="B155" s="545">
        <f>B32</f>
        <v>0.12514351001725652</v>
      </c>
      <c r="C155" s="545">
        <f>B56</f>
        <v>0</v>
      </c>
      <c r="D155" s="546">
        <f>B65</f>
        <v>2114.2459793346434</v>
      </c>
      <c r="E155" s="546">
        <f>B76</f>
        <v>1669.3459793346433</v>
      </c>
      <c r="F155" s="547">
        <f>B81</f>
        <v>514.75361681610957</v>
      </c>
      <c r="G155" s="48"/>
      <c r="H155" s="48"/>
      <c r="I155" s="48"/>
      <c r="J155" s="48"/>
      <c r="K155" s="48"/>
    </row>
    <row r="156" spans="1:11" x14ac:dyDescent="0.3">
      <c r="A156" s="548" t="s">
        <v>1120</v>
      </c>
      <c r="B156" s="549">
        <f>B108</f>
        <v>0.14099999999999999</v>
      </c>
      <c r="C156" s="549">
        <f>B109</f>
        <v>0</v>
      </c>
      <c r="D156" s="550">
        <f>B133</f>
        <v>1932.6388405594184</v>
      </c>
      <c r="E156" s="550">
        <f>B144</f>
        <v>1487.7388405594183</v>
      </c>
      <c r="F156" s="551">
        <f>B149</f>
        <v>458.75388238033253</v>
      </c>
      <c r="G156" s="48"/>
      <c r="H156" s="48"/>
      <c r="I156" s="48"/>
      <c r="J156" s="48"/>
      <c r="K156" s="48"/>
    </row>
    <row r="157" spans="1:11" x14ac:dyDescent="0.3">
      <c r="A157" s="48"/>
      <c r="B157" s="48"/>
      <c r="C157" s="48"/>
      <c r="D157" s="48"/>
      <c r="E157" s="48"/>
      <c r="F157" s="48"/>
      <c r="G157" s="48"/>
      <c r="H157" s="48"/>
      <c r="I157" s="48"/>
      <c r="J157" s="48"/>
      <c r="K157" s="48"/>
    </row>
    <row r="158" spans="1:11" x14ac:dyDescent="0.3">
      <c r="A158" s="552" t="s">
        <v>1121</v>
      </c>
      <c r="B158" s="553">
        <f>AVERAGE(B155,B156)</f>
        <v>0.13307175500862825</v>
      </c>
      <c r="C158" s="553">
        <f>AVERAGE(C155,C156)</f>
        <v>0</v>
      </c>
      <c r="D158" s="554">
        <f>AVERAGE(D155,D156)</f>
        <v>2023.4424099470309</v>
      </c>
      <c r="E158" s="554">
        <f>AVERAGE(E155,E156)</f>
        <v>1578.5424099470308</v>
      </c>
      <c r="F158" s="543">
        <f>AVERAGE(F155,F156)</f>
        <v>486.75374959822102</v>
      </c>
      <c r="G158" s="48"/>
      <c r="H158" s="48"/>
      <c r="I158" s="48"/>
      <c r="J158" s="48"/>
      <c r="K158" s="48"/>
    </row>
  </sheetData>
  <mergeCells count="2">
    <mergeCell ref="A1:H1"/>
    <mergeCell ref="A2:H2"/>
  </mergeCells>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G58"/>
  <sheetViews>
    <sheetView showGridLines="0" zoomScaleNormal="100" workbookViewId="0">
      <pane ySplit="2" topLeftCell="A3" activePane="bottomLeft" state="frozen"/>
      <selection pane="bottomLeft" activeCell="B10" sqref="B10"/>
    </sheetView>
  </sheetViews>
  <sheetFormatPr defaultColWidth="8.6640625" defaultRowHeight="14.4" x14ac:dyDescent="0.3"/>
  <cols>
    <col min="1" max="1" width="39.77734375" customWidth="1"/>
    <col min="2" max="2" width="21.21875" customWidth="1"/>
    <col min="3" max="7" width="16.6640625" customWidth="1"/>
  </cols>
  <sheetData>
    <row r="1" spans="1:7" ht="24" customHeight="1" x14ac:dyDescent="0.3">
      <c r="A1" s="164" t="s">
        <v>689</v>
      </c>
      <c r="B1" s="48"/>
      <c r="C1" s="48"/>
      <c r="D1" s="48"/>
      <c r="E1" s="48"/>
      <c r="F1" s="48"/>
      <c r="G1" s="48"/>
    </row>
    <row r="2" spans="1:7" ht="18" customHeight="1" x14ac:dyDescent="0.3">
      <c r="A2" s="555" t="s">
        <v>1167</v>
      </c>
      <c r="B2" s="48"/>
      <c r="C2" s="48"/>
      <c r="D2" s="48"/>
      <c r="E2" s="48"/>
      <c r="F2" s="48"/>
      <c r="G2" s="48"/>
    </row>
    <row r="3" spans="1:7" ht="14.25" customHeight="1" x14ac:dyDescent="0.3">
      <c r="A3" s="48"/>
      <c r="B3" s="48"/>
      <c r="C3" s="48"/>
      <c r="D3" s="48"/>
      <c r="E3" s="48"/>
      <c r="F3" s="48"/>
      <c r="G3" s="48"/>
    </row>
    <row r="4" spans="1:7" ht="14.25" customHeight="1" x14ac:dyDescent="0.3">
      <c r="A4" s="207" t="s">
        <v>690</v>
      </c>
      <c r="B4" s="207"/>
      <c r="C4" s="207"/>
      <c r="D4" s="207"/>
      <c r="E4" s="207"/>
      <c r="F4" s="207"/>
      <c r="G4" s="48"/>
    </row>
    <row r="5" spans="1:7" ht="14.25" customHeight="1" x14ac:dyDescent="0.3">
      <c r="A5" s="58" t="s">
        <v>691</v>
      </c>
      <c r="B5" s="175">
        <f>'WACC &amp; DCF Valuation'!B32</f>
        <v>0.12514351001725652</v>
      </c>
      <c r="C5" s="556" t="s">
        <v>692</v>
      </c>
      <c r="D5" s="48"/>
      <c r="E5" s="48"/>
      <c r="F5" s="48"/>
      <c r="G5" s="48"/>
    </row>
    <row r="6" spans="1:7" ht="14.25" customHeight="1" x14ac:dyDescent="0.3">
      <c r="A6" s="58" t="s">
        <v>693</v>
      </c>
      <c r="B6" s="175">
        <f>'WACC &amp; DCF Valuation'!B56</f>
        <v>0</v>
      </c>
      <c r="C6" s="556" t="s">
        <v>694</v>
      </c>
      <c r="D6" s="48"/>
      <c r="E6" s="48"/>
      <c r="F6" s="48"/>
      <c r="G6" s="48"/>
    </row>
    <row r="7" spans="1:7" ht="14.25" customHeight="1" x14ac:dyDescent="0.3">
      <c r="A7" s="65" t="s">
        <v>695</v>
      </c>
      <c r="B7" s="557">
        <f>'WACC &amp; DCF Valuation'!B81</f>
        <v>514.75361681610957</v>
      </c>
      <c r="C7" s="556" t="s">
        <v>696</v>
      </c>
      <c r="D7" s="48"/>
      <c r="E7" s="48"/>
      <c r="F7" s="48"/>
      <c r="G7" s="48"/>
    </row>
    <row r="8" spans="1:7" ht="14.25" customHeight="1" x14ac:dyDescent="0.3">
      <c r="A8" s="48"/>
      <c r="B8" s="48"/>
      <c r="C8" s="48"/>
      <c r="D8" s="48"/>
      <c r="E8" s="48"/>
      <c r="F8" s="48"/>
      <c r="G8" s="48"/>
    </row>
    <row r="9" spans="1:7" ht="15" customHeight="1" x14ac:dyDescent="0.3">
      <c r="A9" s="558" t="s">
        <v>697</v>
      </c>
      <c r="B9" s="558"/>
      <c r="C9" s="558"/>
      <c r="D9" s="558"/>
      <c r="E9" s="558"/>
      <c r="F9" s="558"/>
      <c r="G9" s="224"/>
    </row>
    <row r="10" spans="1:7" ht="14.25" customHeight="1" x14ac:dyDescent="0.3">
      <c r="A10" s="559" t="s">
        <v>682</v>
      </c>
      <c r="B10" s="560">
        <v>0</v>
      </c>
      <c r="C10" s="560">
        <v>0.01</v>
      </c>
      <c r="D10" s="561">
        <v>0.02</v>
      </c>
      <c r="E10" s="560">
        <v>0.03</v>
      </c>
      <c r="F10" s="562">
        <v>0.04</v>
      </c>
      <c r="G10" s="48"/>
    </row>
    <row r="11" spans="1:7" ht="14.25" customHeight="1" x14ac:dyDescent="0.3">
      <c r="A11" s="563">
        <f>$B$5-0.01</f>
        <v>0.11514351001725652</v>
      </c>
      <c r="B11" s="564">
        <f>(('WACC &amp; DCF Valuation'!$D$46/(1+$A11)^1)+('WACC &amp; DCF Valuation'!$E$46/(1+$A11)^2)+('WACC &amp; DCF Valuation'!$F$46/(1+$A11)^3)+('WACC &amp; DCF Valuation'!$G$46/(1+$A11)^4)+('WACC &amp; DCF Valuation'!$H$46/(1+$A11)^5)+('WACC &amp; DCF Valuation'!$I$46/(1+$A11)^6)+('WACC &amp; DCF Valuation'!$J$46/(1+$A11)^7)+('WACC &amp; DCF Valuation'!$K$46/(1+$A11)^8)+(('WACC &amp; DCF Valuation'!$B$58*(1+B$10))/($A11-B$10))/(1+$A11)^8+'WACC &amp; DCF Valuation'!$B$72-'WACC &amp; DCF Valuation'!$B$73-'WACC &amp; DCF Valuation'!$B$74)/'WACC &amp; DCF Valuation'!$B$80</f>
        <v>572.07528669385295</v>
      </c>
      <c r="C11" s="564">
        <f>(('WACC &amp; DCF Valuation'!$D$46/(1+$A11)^1)+('WACC &amp; DCF Valuation'!$E$46/(1+$A11)^2)+('WACC &amp; DCF Valuation'!$F$46/(1+$A11)^3)+('WACC &amp; DCF Valuation'!$G$46/(1+$A11)^4)+('WACC &amp; DCF Valuation'!$H$46/(1+$A11)^5)+('WACC &amp; DCF Valuation'!$I$46/(1+$A11)^6)+('WACC &amp; DCF Valuation'!$J$46/(1+$A11)^7)+('WACC &amp; DCF Valuation'!$K$46/(1+$A11)^8)+(('WACC &amp; DCF Valuation'!$B$58*(1+C$10))/($A11-C$10))/(1+$A11)^8+'WACC &amp; DCF Valuation'!$B$72-'WACC &amp; DCF Valuation'!$B$73-'WACC &amp; DCF Valuation'!$B$74)/'WACC &amp; DCF Valuation'!$B$80</f>
        <v>603.28076341067197</v>
      </c>
      <c r="D11" s="564">
        <f>(('WACC &amp; DCF Valuation'!$D$46/(1+$A11)^1)+('WACC &amp; DCF Valuation'!$E$46/(1+$A11)^2)+('WACC &amp; DCF Valuation'!$F$46/(1+$A11)^3)+('WACC &amp; DCF Valuation'!$G$46/(1+$A11)^4)+('WACC &amp; DCF Valuation'!$H$46/(1+$A11)^5)+('WACC &amp; DCF Valuation'!$I$46/(1+$A11)^6)+('WACC &amp; DCF Valuation'!$J$46/(1+$A11)^7)+('WACC &amp; DCF Valuation'!$K$46/(1+$A11)^8)+(('WACC &amp; DCF Valuation'!$B$58*(1+D$10))/($A11-D$10))/(1+$A11)^8+'WACC &amp; DCF Valuation'!$B$72-'WACC &amp; DCF Valuation'!$B$73-'WACC &amp; DCF Valuation'!$B$74)/'WACC &amp; DCF Valuation'!$B$80</f>
        <v>641.04590493513967</v>
      </c>
      <c r="E11" s="564">
        <f>(('WACC &amp; DCF Valuation'!$D$46/(1+$A11)^1)+('WACC &amp; DCF Valuation'!$E$46/(1+$A11)^2)+('WACC &amp; DCF Valuation'!$F$46/(1+$A11)^3)+('WACC &amp; DCF Valuation'!$G$46/(1+$A11)^4)+('WACC &amp; DCF Valuation'!$H$46/(1+$A11)^5)+('WACC &amp; DCF Valuation'!$I$46/(1+$A11)^6)+('WACC &amp; DCF Valuation'!$J$46/(1+$A11)^7)+('WACC &amp; DCF Valuation'!$K$46/(1+$A11)^8)+(('WACC &amp; DCF Valuation'!$B$58*(1+E$10))/($A11-E$10))/(1+$A11)^8+'WACC &amp; DCF Valuation'!$B$72-'WACC &amp; DCF Valuation'!$B$73-'WACC &amp; DCF Valuation'!$B$74)/'WACC &amp; DCF Valuation'!$B$80</f>
        <v>687.68198483572405</v>
      </c>
      <c r="F11" s="564">
        <f>(('WACC &amp; DCF Valuation'!$D$46/(1+$A11)^1)+('WACC &amp; DCF Valuation'!$E$46/(1+$A11)^2)+('WACC &amp; DCF Valuation'!$F$46/(1+$A11)^3)+('WACC &amp; DCF Valuation'!$G$46/(1+$A11)^4)+('WACC &amp; DCF Valuation'!$H$46/(1+$A11)^5)+('WACC &amp; DCF Valuation'!$I$46/(1+$A11)^6)+('WACC &amp; DCF Valuation'!$J$46/(1+$A11)^7)+('WACC &amp; DCF Valuation'!$K$46/(1+$A11)^8)+(('WACC &amp; DCF Valuation'!$B$58*(1+F$10))/($A11-F$10))/(1+$A11)^8+'WACC &amp; DCF Valuation'!$B$72-'WACC &amp; DCF Valuation'!$B$73-'WACC &amp; DCF Valuation'!$B$74)/'WACC &amp; DCF Valuation'!$B$80</f>
        <v>746.730601731153</v>
      </c>
      <c r="G11" s="48"/>
    </row>
    <row r="12" spans="1:7" ht="14.25" customHeight="1" x14ac:dyDescent="0.3">
      <c r="A12" s="563">
        <f>$B$5-0.005</f>
        <v>0.12014351001725651</v>
      </c>
      <c r="B12" s="564">
        <f>(('WACC &amp; DCF Valuation'!$D$46/(1+$A12)^1)+('WACC &amp; DCF Valuation'!$E$46/(1+$A12)^2)+('WACC &amp; DCF Valuation'!$F$46/(1+$A12)^3)+('WACC &amp; DCF Valuation'!$G$46/(1+$A12)^4)+('WACC &amp; DCF Valuation'!$H$46/(1+$A12)^5)+('WACC &amp; DCF Valuation'!$I$46/(1+$A12)^6)+('WACC &amp; DCF Valuation'!$J$46/(1+$A12)^7)+('WACC &amp; DCF Valuation'!$K$46/(1+$A12)^8)+(('WACC &amp; DCF Valuation'!$B$58*(1+B$10))/($A12-B$10))/(1+$A12)^8+'WACC &amp; DCF Valuation'!$B$72-'WACC &amp; DCF Valuation'!$B$73-'WACC &amp; DCF Valuation'!$B$74)/'WACC &amp; DCF Valuation'!$B$80</f>
        <v>542.23561348619728</v>
      </c>
      <c r="C12" s="564">
        <f>(('WACC &amp; DCF Valuation'!$D$46/(1+$A12)^1)+('WACC &amp; DCF Valuation'!$E$46/(1+$A12)^2)+('WACC &amp; DCF Valuation'!$F$46/(1+$A12)^3)+('WACC &amp; DCF Valuation'!$G$46/(1+$A12)^4)+('WACC &amp; DCF Valuation'!$H$46/(1+$A12)^5)+('WACC &amp; DCF Valuation'!$I$46/(1+$A12)^6)+('WACC &amp; DCF Valuation'!$J$46/(1+$A12)^7)+('WACC &amp; DCF Valuation'!$K$46/(1+$A12)^8)+(('WACC &amp; DCF Valuation'!$B$58*(1+C$10))/($A12-C$10))/(1+$A12)^8+'WACC &amp; DCF Valuation'!$B$72-'WACC &amp; DCF Valuation'!$B$73-'WACC &amp; DCF Valuation'!$B$74)/'WACC &amp; DCF Valuation'!$B$80</f>
        <v>569.90459596329981</v>
      </c>
      <c r="D12" s="564">
        <f>(('WACC &amp; DCF Valuation'!$D$46/(1+$A12)^1)+('WACC &amp; DCF Valuation'!$E$46/(1+$A12)^2)+('WACC &amp; DCF Valuation'!$F$46/(1+$A12)^3)+('WACC &amp; DCF Valuation'!$G$46/(1+$A12)^4)+('WACC &amp; DCF Valuation'!$H$46/(1+$A12)^5)+('WACC &amp; DCF Valuation'!$I$46/(1+$A12)^6)+('WACC &amp; DCF Valuation'!$J$46/(1+$A12)^7)+('WACC &amp; DCF Valuation'!$K$46/(1+$A12)^8)+(('WACC &amp; DCF Valuation'!$B$58*(1+D$10))/($A12-D$10))/(1+$A12)^8+'WACC &amp; DCF Valuation'!$B$72-'WACC &amp; DCF Valuation'!$B$73-'WACC &amp; DCF Valuation'!$B$74)/'WACC &amp; DCF Valuation'!$B$80</f>
        <v>603.09944476410794</v>
      </c>
      <c r="E12" s="564">
        <f>(('WACC &amp; DCF Valuation'!$D$46/(1+$A12)^1)+('WACC &amp; DCF Valuation'!$E$46/(1+$A12)^2)+('WACC &amp; DCF Valuation'!$F$46/(1+$A12)^3)+('WACC &amp; DCF Valuation'!$G$46/(1+$A12)^4)+('WACC &amp; DCF Valuation'!$H$46/(1+$A12)^5)+('WACC &amp; DCF Valuation'!$I$46/(1+$A12)^6)+('WACC &amp; DCF Valuation'!$J$46/(1+$A12)^7)+('WACC &amp; DCF Valuation'!$K$46/(1+$A12)^8)+(('WACC &amp; DCF Valuation'!$B$58*(1+E$10))/($A12-E$10))/(1+$A12)^8+'WACC &amp; DCF Valuation'!$B$72-'WACC &amp; DCF Valuation'!$B$73-'WACC &amp; DCF Valuation'!$B$74)/'WACC &amp; DCF Valuation'!$B$80</f>
        <v>643.65918290513673</v>
      </c>
      <c r="F12" s="564">
        <f>(('WACC &amp; DCF Valuation'!$D$46/(1+$A12)^1)+('WACC &amp; DCF Valuation'!$E$46/(1+$A12)^2)+('WACC &amp; DCF Valuation'!$F$46/(1+$A12)^3)+('WACC &amp; DCF Valuation'!$G$46/(1+$A12)^4)+('WACC &amp; DCF Valuation'!$H$46/(1+$A12)^5)+('WACC &amp; DCF Valuation'!$I$46/(1+$A12)^6)+('WACC &amp; DCF Valuation'!$J$46/(1+$A12)^7)+('WACC &amp; DCF Valuation'!$K$46/(1+$A12)^8)+(('WACC &amp; DCF Valuation'!$B$58*(1+F$10))/($A12-F$10))/(1+$A12)^8+'WACC &amp; DCF Valuation'!$B$72-'WACC &amp; DCF Valuation'!$B$73-'WACC &amp; DCF Valuation'!$B$74)/'WACC &amp; DCF Valuation'!$B$80</f>
        <v>694.34069837593222</v>
      </c>
      <c r="G12" s="48"/>
    </row>
    <row r="13" spans="1:7" ht="14.25" customHeight="1" x14ac:dyDescent="0.3">
      <c r="A13" s="565">
        <f>$B$5</f>
        <v>0.12514351001725652</v>
      </c>
      <c r="B13" s="566">
        <f>(('WACC &amp; DCF Valuation'!$D$46/(1+$A13)^1)+('WACC &amp; DCF Valuation'!$E$46/(1+$A13)^2)+('WACC &amp; DCF Valuation'!$F$46/(1+$A13)^3)+('WACC &amp; DCF Valuation'!$G$46/(1+$A13)^4)+('WACC &amp; DCF Valuation'!$H$46/(1+$A13)^5)+('WACC &amp; DCF Valuation'!$I$46/(1+$A13)^6)+('WACC &amp; DCF Valuation'!$J$46/(1+$A13)^7)+('WACC &amp; DCF Valuation'!$K$46/(1+$A13)^8)+(('WACC &amp; DCF Valuation'!$B$58*(1+B$10))/($A13-B$10))/(1+$A13)^8+'WACC &amp; DCF Valuation'!$B$72-'WACC &amp; DCF Valuation'!$B$73-'WACC &amp; DCF Valuation'!$B$74)/'WACC &amp; DCF Valuation'!$B$80</f>
        <v>514.75361681610957</v>
      </c>
      <c r="C13" s="564">
        <f>(('WACC &amp; DCF Valuation'!$D$46/(1+$A13)^1)+('WACC &amp; DCF Valuation'!$E$46/(1+$A13)^2)+('WACC &amp; DCF Valuation'!$F$46/(1+$A13)^3)+('WACC &amp; DCF Valuation'!$G$46/(1+$A13)^4)+('WACC &amp; DCF Valuation'!$H$46/(1+$A13)^5)+('WACC &amp; DCF Valuation'!$I$46/(1+$A13)^6)+('WACC &amp; DCF Valuation'!$J$46/(1+$A13)^7)+('WACC &amp; DCF Valuation'!$K$46/(1+$A13)^8)+(('WACC &amp; DCF Valuation'!$B$58*(1+C$10))/($A13-C$10))/(1+$A13)^8+'WACC &amp; DCF Valuation'!$B$72-'WACC &amp; DCF Valuation'!$B$73-'WACC &amp; DCF Valuation'!$B$74)/'WACC &amp; DCF Valuation'!$B$80</f>
        <v>539.38364182852797</v>
      </c>
      <c r="D13" s="564">
        <f>(('WACC &amp; DCF Valuation'!$D$46/(1+$A13)^1)+('WACC &amp; DCF Valuation'!$E$46/(1+$A13)^2)+('WACC &amp; DCF Valuation'!$F$46/(1+$A13)^3)+('WACC &amp; DCF Valuation'!$G$46/(1+$A13)^4)+('WACC &amp; DCF Valuation'!$H$46/(1+$A13)^5)+('WACC &amp; DCF Valuation'!$I$46/(1+$A13)^6)+('WACC &amp; DCF Valuation'!$J$46/(1+$A13)^7)+('WACC &amp; DCF Valuation'!$K$46/(1+$A13)^8)+(('WACC &amp; DCF Valuation'!$B$58*(1+D$10))/($A13-D$10))/(1+$A13)^8+'WACC &amp; DCF Valuation'!$B$72-'WACC &amp; DCF Valuation'!$B$73-'WACC &amp; DCF Valuation'!$B$74)/'WACC &amp; DCF Valuation'!$B$80</f>
        <v>568.69869685532865</v>
      </c>
      <c r="E13" s="564">
        <f>(('WACC &amp; DCF Valuation'!$D$46/(1+$A13)^1)+('WACC &amp; DCF Valuation'!$E$46/(1+$A13)^2)+('WACC &amp; DCF Valuation'!$F$46/(1+$A13)^3)+('WACC &amp; DCF Valuation'!$G$46/(1+$A13)^4)+('WACC &amp; DCF Valuation'!$H$46/(1+$A13)^5)+('WACC &amp; DCF Valuation'!$I$46/(1+$A13)^6)+('WACC &amp; DCF Valuation'!$J$46/(1+$A13)^7)+('WACC &amp; DCF Valuation'!$K$46/(1+$A13)^8)+(('WACC &amp; DCF Valuation'!$B$58*(1+E$10))/($A13-E$10))/(1+$A13)^8+'WACC &amp; DCF Valuation'!$B$72-'WACC &amp; DCF Valuation'!$B$73-'WACC &amp; DCF Valuation'!$B$74)/'WACC &amp; DCF Valuation'!$B$80</f>
        <v>604.17603347579416</v>
      </c>
      <c r="F13" s="564">
        <f>(('WACC &amp; DCF Valuation'!$D$46/(1+$A13)^1)+('WACC &amp; DCF Valuation'!$E$46/(1+$A13)^2)+('WACC &amp; DCF Valuation'!$F$46/(1+$A13)^3)+('WACC &amp; DCF Valuation'!$G$46/(1+$A13)^4)+('WACC &amp; DCF Valuation'!$H$46/(1+$A13)^5)+('WACC &amp; DCF Valuation'!$I$46/(1+$A13)^6)+('WACC &amp; DCF Valuation'!$J$46/(1+$A13)^7)+('WACC &amp; DCF Valuation'!$K$46/(1+$A13)^8)+(('WACC &amp; DCF Valuation'!$B$58*(1+F$10))/($A13-F$10))/(1+$A13)^8+'WACC &amp; DCF Valuation'!$B$72-'WACC &amp; DCF Valuation'!$B$73-'WACC &amp; DCF Valuation'!$B$74)/'WACC &amp; DCF Valuation'!$B$80</f>
        <v>647.98690875664033</v>
      </c>
      <c r="G13" s="48"/>
    </row>
    <row r="14" spans="1:7" ht="14.25" customHeight="1" x14ac:dyDescent="0.3">
      <c r="A14" s="563">
        <f>$B$5+0.005</f>
        <v>0.13014351001725652</v>
      </c>
      <c r="B14" s="564">
        <f>(('WACC &amp; DCF Valuation'!$D$46/(1+$A14)^1)+('WACC &amp; DCF Valuation'!$E$46/(1+$A14)^2)+('WACC &amp; DCF Valuation'!$F$46/(1+$A14)^3)+('WACC &amp; DCF Valuation'!$G$46/(1+$A14)^4)+('WACC &amp; DCF Valuation'!$H$46/(1+$A14)^5)+('WACC &amp; DCF Valuation'!$I$46/(1+$A14)^6)+('WACC &amp; DCF Valuation'!$J$46/(1+$A14)^7)+('WACC &amp; DCF Valuation'!$K$46/(1+$A14)^8)+(('WACC &amp; DCF Valuation'!$B$58*(1+B$10))/($A14-B$10))/(1+$A14)^8+'WACC &amp; DCF Valuation'!$B$72-'WACC &amp; DCF Valuation'!$B$73-'WACC &amp; DCF Valuation'!$B$74)/'WACC &amp; DCF Valuation'!$B$80</f>
        <v>489.35897580367839</v>
      </c>
      <c r="C14" s="564">
        <f>(('WACC &amp; DCF Valuation'!$D$46/(1+$A14)^1)+('WACC &amp; DCF Valuation'!$E$46/(1+$A14)^2)+('WACC &amp; DCF Valuation'!$F$46/(1+$A14)^3)+('WACC &amp; DCF Valuation'!$G$46/(1+$A14)^4)+('WACC &amp; DCF Valuation'!$H$46/(1+$A14)^5)+('WACC &amp; DCF Valuation'!$I$46/(1+$A14)^6)+('WACC &amp; DCF Valuation'!$J$46/(1+$A14)^7)+('WACC &amp; DCF Valuation'!$K$46/(1+$A14)^8)+(('WACC &amp; DCF Valuation'!$B$58*(1+C$10))/($A14-C$10))/(1+$A14)^8+'WACC &amp; DCF Valuation'!$B$72-'WACC &amp; DCF Valuation'!$B$73-'WACC &amp; DCF Valuation'!$B$74)/'WACC &amp; DCF Valuation'!$B$80</f>
        <v>511.36340392637743</v>
      </c>
      <c r="D14" s="564">
        <f>(('WACC &amp; DCF Valuation'!$D$46/(1+$A14)^1)+('WACC &amp; DCF Valuation'!$E$46/(1+$A14)^2)+('WACC &amp; DCF Valuation'!$F$46/(1+$A14)^3)+('WACC &amp; DCF Valuation'!$G$46/(1+$A14)^4)+('WACC &amp; DCF Valuation'!$H$46/(1+$A14)^5)+('WACC &amp; DCF Valuation'!$I$46/(1+$A14)^6)+('WACC &amp; DCF Valuation'!$J$46/(1+$A14)^7)+('WACC &amp; DCF Valuation'!$K$46/(1+$A14)^8)+(('WACC &amp; DCF Valuation'!$B$58*(1+D$10))/($A14-D$10))/(1+$A14)^8+'WACC &amp; DCF Valuation'!$B$72-'WACC &amp; DCF Valuation'!$B$73-'WACC &amp; DCF Valuation'!$B$74)/'WACC &amp; DCF Valuation'!$B$80</f>
        <v>537.36342436663585</v>
      </c>
      <c r="E14" s="564">
        <f>(('WACC &amp; DCF Valuation'!$D$46/(1+$A14)^1)+('WACC &amp; DCF Valuation'!$E$46/(1+$A14)^2)+('WACC &amp; DCF Valuation'!$F$46/(1+$A14)^3)+('WACC &amp; DCF Valuation'!$G$46/(1+$A14)^4)+('WACC &amp; DCF Valuation'!$H$46/(1+$A14)^5)+('WACC &amp; DCF Valuation'!$I$46/(1+$A14)^6)+('WACC &amp; DCF Valuation'!$J$46/(1+$A14)^7)+('WACC &amp; DCF Valuation'!$K$46/(1+$A14)^8)+(('WACC &amp; DCF Valuation'!$B$58*(1+E$10))/($A14-E$10))/(1+$A14)^8+'WACC &amp; DCF Valuation'!$B$72-'WACC &amp; DCF Valuation'!$B$73-'WACC &amp; DCF Valuation'!$B$74)/'WACC &amp; DCF Valuation'!$B$80</f>
        <v>568.55599706230817</v>
      </c>
      <c r="F14" s="564">
        <f>(('WACC &amp; DCF Valuation'!$D$46/(1+$A14)^1)+('WACC &amp; DCF Valuation'!$E$46/(1+$A14)^2)+('WACC &amp; DCF Valuation'!$F$46/(1+$A14)^3)+('WACC &amp; DCF Valuation'!$G$46/(1+$A14)^4)+('WACC &amp; DCF Valuation'!$H$46/(1+$A14)^5)+('WACC &amp; DCF Valuation'!$I$46/(1+$A14)^6)+('WACC &amp; DCF Valuation'!$J$46/(1+$A14)^7)+('WACC &amp; DCF Valuation'!$K$46/(1+$A14)^8)+(('WACC &amp; DCF Valuation'!$B$58*(1+F$10))/($A14-F$10))/(1+$A14)^8+'WACC &amp; DCF Valuation'!$B$72-'WACC &amp; DCF Valuation'!$B$73-'WACC &amp; DCF Valuation'!$B$74)/'WACC &amp; DCF Valuation'!$B$80</f>
        <v>606.66921722105371</v>
      </c>
      <c r="G14" s="48"/>
    </row>
    <row r="15" spans="1:7" ht="15" customHeight="1" x14ac:dyDescent="0.3">
      <c r="A15" s="567">
        <f>$B$5+0.01</f>
        <v>0.13514351001725652</v>
      </c>
      <c r="B15" s="564">
        <f>(('WACC &amp; DCF Valuation'!$D$46/(1+$A15)^1)+('WACC &amp; DCF Valuation'!$E$46/(1+$A15)^2)+('WACC &amp; DCF Valuation'!$F$46/(1+$A15)^3)+('WACC &amp; DCF Valuation'!$G$46/(1+$A15)^4)+('WACC &amp; DCF Valuation'!$H$46/(1+$A15)^5)+('WACC &amp; DCF Valuation'!$I$46/(1+$A15)^6)+('WACC &amp; DCF Valuation'!$J$46/(1+$A15)^7)+('WACC &amp; DCF Valuation'!$K$46/(1+$A15)^8)+(('WACC &amp; DCF Valuation'!$B$58*(1+B$10))/($A15-B$10))/(1+$A15)^8+'WACC &amp; DCF Valuation'!$B$72-'WACC &amp; DCF Valuation'!$B$73-'WACC &amp; DCF Valuation'!$B$74)/'WACC &amp; DCF Valuation'!$B$80</f>
        <v>465.82130649331788</v>
      </c>
      <c r="C15" s="564">
        <f>(('WACC &amp; DCF Valuation'!$D$46/(1+$A15)^1)+('WACC &amp; DCF Valuation'!$E$46/(1+$A15)^2)+('WACC &amp; DCF Valuation'!$F$46/(1+$A15)^3)+('WACC &amp; DCF Valuation'!$G$46/(1+$A15)^4)+('WACC &amp; DCF Valuation'!$H$46/(1+$A15)^5)+('WACC &amp; DCF Valuation'!$I$46/(1+$A15)^6)+('WACC &amp; DCF Valuation'!$J$46/(1+$A15)^7)+('WACC &amp; DCF Valuation'!$K$46/(1+$A15)^8)+(('WACC &amp; DCF Valuation'!$B$58*(1+C$10))/($A15-C$10))/(1+$A15)^8+'WACC &amp; DCF Valuation'!$B$72-'WACC &amp; DCF Valuation'!$B$73-'WACC &amp; DCF Valuation'!$B$74)/'WACC &amp; DCF Valuation'!$B$80</f>
        <v>485.54595012458935</v>
      </c>
      <c r="D15" s="564">
        <f>(('WACC &amp; DCF Valuation'!$D$46/(1+$A15)^1)+('WACC &amp; DCF Valuation'!$E$46/(1+$A15)^2)+('WACC &amp; DCF Valuation'!$F$46/(1+$A15)^3)+('WACC &amp; DCF Valuation'!$G$46/(1+$A15)^4)+('WACC &amp; DCF Valuation'!$H$46/(1+$A15)^5)+('WACC &amp; DCF Valuation'!$I$46/(1+$A15)^6)+('WACC &amp; DCF Valuation'!$J$46/(1+$A15)^7)+('WACC &amp; DCF Valuation'!$K$46/(1+$A15)^8)+(('WACC &amp; DCF Valuation'!$B$58*(1+D$10))/($A15-D$10))/(1+$A15)^8+'WACC &amp; DCF Valuation'!$B$72-'WACC &amp; DCF Valuation'!$B$73-'WACC &amp; DCF Valuation'!$B$74)/'WACC &amp; DCF Valuation'!$B$80</f>
        <v>508.69669108923478</v>
      </c>
      <c r="E15" s="564">
        <f>(('WACC &amp; DCF Valuation'!$D$46/(1+$A15)^1)+('WACC &amp; DCF Valuation'!$E$46/(1+$A15)^2)+('WACC &amp; DCF Valuation'!$F$46/(1+$A15)^3)+('WACC &amp; DCF Valuation'!$G$46/(1+$A15)^4)+('WACC &amp; DCF Valuation'!$H$46/(1+$A15)^5)+('WACC &amp; DCF Valuation'!$I$46/(1+$A15)^6)+('WACC &amp; DCF Valuation'!$J$46/(1+$A15)^7)+('WACC &amp; DCF Valuation'!$K$46/(1+$A15)^8)+(('WACC &amp; DCF Valuation'!$B$58*(1+E$10))/($A15-E$10))/(1+$A15)^8+'WACC &amp; DCF Valuation'!$B$72-'WACC &amp; DCF Valuation'!$B$73-'WACC &amp; DCF Valuation'!$B$74)/'WACC &amp; DCF Valuation'!$B$80</f>
        <v>536.25107826292253</v>
      </c>
      <c r="F15" s="564">
        <f>(('WACC &amp; DCF Valuation'!$D$46/(1+$A15)^1)+('WACC &amp; DCF Valuation'!$E$46/(1+$A15)^2)+('WACC &amp; DCF Valuation'!$F$46/(1+$A15)^3)+('WACC &amp; DCF Valuation'!$G$46/(1+$A15)^4)+('WACC &amp; DCF Valuation'!$H$46/(1+$A15)^5)+('WACC &amp; DCF Valuation'!$I$46/(1+$A15)^6)+('WACC &amp; DCF Valuation'!$J$46/(1+$A15)^7)+('WACC &amp; DCF Valuation'!$K$46/(1+$A15)^8)+(('WACC &amp; DCF Valuation'!$B$58*(1+F$10))/($A15-F$10))/(1+$A15)^8+'WACC &amp; DCF Valuation'!$B$72-'WACC &amp; DCF Valuation'!$B$73-'WACC &amp; DCF Valuation'!$B$74)/'WACC &amp; DCF Valuation'!$B$80</f>
        <v>569.59763921045783</v>
      </c>
      <c r="G15" s="48"/>
    </row>
    <row r="16" spans="1:7" ht="14.25" customHeight="1" x14ac:dyDescent="0.3">
      <c r="A16" s="48"/>
      <c r="B16" s="48"/>
      <c r="C16" s="48"/>
      <c r="D16" s="48"/>
      <c r="E16" s="48"/>
      <c r="F16" s="48"/>
      <c r="G16" s="48"/>
    </row>
    <row r="17" spans="1:7" ht="14.25" customHeight="1" x14ac:dyDescent="0.3">
      <c r="A17" s="207" t="s">
        <v>698</v>
      </c>
      <c r="B17" s="207"/>
      <c r="C17" s="207"/>
      <c r="D17" s="207"/>
      <c r="E17" s="207"/>
      <c r="F17" s="207"/>
      <c r="G17" s="48"/>
    </row>
    <row r="18" spans="1:7" ht="14.25" customHeight="1" x14ac:dyDescent="0.3">
      <c r="A18" s="568" t="s">
        <v>699</v>
      </c>
      <c r="B18" s="569" t="s">
        <v>1168</v>
      </c>
      <c r="C18" s="570">
        <f>F11</f>
        <v>746.730601731153</v>
      </c>
      <c r="D18" s="571"/>
      <c r="E18" s="571"/>
      <c r="F18" s="571"/>
      <c r="G18" s="48"/>
    </row>
    <row r="19" spans="1:7" ht="14.25" customHeight="1" x14ac:dyDescent="0.3">
      <c r="A19" s="572" t="s">
        <v>1293</v>
      </c>
      <c r="B19" s="573" t="s">
        <v>1289</v>
      </c>
      <c r="C19" s="574">
        <f>B13</f>
        <v>514.75361681610957</v>
      </c>
      <c r="D19" s="575"/>
      <c r="E19" s="575"/>
      <c r="F19" s="575"/>
      <c r="G19" s="48"/>
    </row>
    <row r="20" spans="1:7" ht="14.25" customHeight="1" x14ac:dyDescent="0.3">
      <c r="A20" s="576" t="s">
        <v>700</v>
      </c>
      <c r="B20" s="577" t="s">
        <v>1290</v>
      </c>
      <c r="C20" s="578">
        <f>B15</f>
        <v>465.82130649331788</v>
      </c>
      <c r="D20" s="579"/>
      <c r="E20" s="579"/>
      <c r="F20" s="579"/>
      <c r="G20" s="48"/>
    </row>
    <row r="21" spans="1:7" ht="14.25" customHeight="1" x14ac:dyDescent="0.3">
      <c r="A21" s="207" t="s">
        <v>701</v>
      </c>
      <c r="B21" s="207"/>
      <c r="C21" s="580">
        <f>C18-C20</f>
        <v>280.90929523783512</v>
      </c>
      <c r="D21" s="207"/>
      <c r="E21" s="207"/>
      <c r="F21" s="207"/>
      <c r="G21" s="48"/>
    </row>
    <row r="22" spans="1:7" ht="14.25" customHeight="1" x14ac:dyDescent="0.3">
      <c r="A22" s="48"/>
      <c r="B22" s="48"/>
      <c r="C22" s="48"/>
      <c r="D22" s="48"/>
      <c r="E22" s="48"/>
      <c r="F22" s="48"/>
      <c r="G22" s="48"/>
    </row>
    <row r="23" spans="1:7" ht="14.25" customHeight="1" x14ac:dyDescent="0.3">
      <c r="A23" s="48"/>
      <c r="B23" s="48"/>
      <c r="C23" s="48"/>
      <c r="D23" s="48"/>
      <c r="E23" s="48"/>
      <c r="F23" s="48"/>
      <c r="G23" s="48"/>
    </row>
    <row r="24" spans="1:7" ht="14.25" customHeight="1" x14ac:dyDescent="0.3">
      <c r="A24" s="48"/>
      <c r="B24" s="48"/>
      <c r="C24" s="48"/>
      <c r="D24" s="48"/>
      <c r="E24" s="48"/>
      <c r="F24" s="48"/>
      <c r="G24" s="48"/>
    </row>
    <row r="25" spans="1:7" ht="14.25" customHeight="1" x14ac:dyDescent="0.3">
      <c r="A25" s="65"/>
      <c r="B25" s="48"/>
      <c r="C25" s="48"/>
      <c r="D25" s="48"/>
      <c r="E25" s="48"/>
      <c r="F25" s="48"/>
      <c r="G25" s="48"/>
    </row>
    <row r="26" spans="1:7" ht="14.25" customHeight="1" x14ac:dyDescent="0.3">
      <c r="A26" s="57"/>
      <c r="B26" s="48"/>
      <c r="C26" s="48"/>
      <c r="D26" s="48"/>
      <c r="E26" s="48"/>
      <c r="F26" s="48"/>
      <c r="G26" s="48"/>
    </row>
    <row r="27" spans="1:7" ht="14.25" customHeight="1" x14ac:dyDescent="0.3">
      <c r="A27" s="57"/>
      <c r="B27" s="48"/>
      <c r="C27" s="48"/>
      <c r="D27" s="48"/>
      <c r="E27" s="48"/>
      <c r="F27" s="48"/>
      <c r="G27" s="48"/>
    </row>
    <row r="28" spans="1:7" ht="14.25" customHeight="1" x14ac:dyDescent="0.3">
      <c r="A28" s="57"/>
      <c r="B28" s="48"/>
      <c r="C28" s="48"/>
      <c r="D28" s="48"/>
      <c r="E28" s="48"/>
      <c r="F28" s="48"/>
      <c r="G28" s="48"/>
    </row>
    <row r="29" spans="1:7" ht="14.25" customHeight="1" x14ac:dyDescent="0.3">
      <c r="A29" s="57"/>
      <c r="B29" s="48"/>
      <c r="C29" s="48"/>
      <c r="D29" s="48"/>
      <c r="E29" s="48"/>
      <c r="F29" s="48"/>
      <c r="G29" s="48"/>
    </row>
    <row r="30" spans="1:7" ht="14.25" customHeight="1" x14ac:dyDescent="0.3">
      <c r="A30" s="207"/>
      <c r="B30" s="207"/>
      <c r="C30" s="207"/>
      <c r="D30" s="207"/>
      <c r="E30" s="207"/>
      <c r="F30" s="207"/>
      <c r="G30" s="48"/>
    </row>
    <row r="31" spans="1:7" ht="14.25" customHeight="1" x14ac:dyDescent="0.3">
      <c r="A31" s="65"/>
      <c r="B31" s="48"/>
      <c r="C31" s="48"/>
      <c r="D31" s="48"/>
      <c r="E31" s="48"/>
      <c r="F31" s="48"/>
      <c r="G31" s="48"/>
    </row>
    <row r="32" spans="1:7" ht="14.25" customHeight="1" x14ac:dyDescent="0.3">
      <c r="A32" s="57"/>
      <c r="B32" s="48"/>
      <c r="C32" s="48"/>
      <c r="D32" s="48"/>
      <c r="E32" s="48"/>
      <c r="F32" s="48"/>
      <c r="G32" s="48"/>
    </row>
    <row r="33" spans="1:7" ht="14.25" customHeight="1" x14ac:dyDescent="0.3">
      <c r="A33" s="48"/>
      <c r="B33" s="48"/>
      <c r="C33" s="48"/>
      <c r="D33" s="48"/>
      <c r="E33" s="48"/>
      <c r="F33" s="48"/>
      <c r="G33" s="48"/>
    </row>
    <row r="34" spans="1:7" ht="14.25" customHeight="1" x14ac:dyDescent="0.3">
      <c r="A34" s="65"/>
      <c r="B34" s="48"/>
      <c r="C34" s="48"/>
      <c r="D34" s="48"/>
      <c r="E34" s="48"/>
      <c r="F34" s="48"/>
      <c r="G34" s="48"/>
    </row>
    <row r="35" spans="1:7" ht="14.25" customHeight="1" x14ac:dyDescent="0.3">
      <c r="A35" s="57"/>
      <c r="B35" s="48"/>
      <c r="C35" s="48"/>
      <c r="D35" s="48"/>
      <c r="E35" s="48"/>
      <c r="F35" s="48"/>
      <c r="G35" s="48"/>
    </row>
    <row r="36" spans="1:7" ht="14.25" customHeight="1" x14ac:dyDescent="0.3">
      <c r="A36" s="48"/>
      <c r="B36" s="48"/>
      <c r="C36" s="48"/>
      <c r="D36" s="48"/>
      <c r="E36" s="48"/>
      <c r="F36" s="48"/>
      <c r="G36" s="48"/>
    </row>
    <row r="37" spans="1:7" ht="14.25" customHeight="1" x14ac:dyDescent="0.3">
      <c r="A37" s="65"/>
      <c r="B37" s="48"/>
      <c r="C37" s="48"/>
      <c r="D37" s="48"/>
      <c r="E37" s="48"/>
      <c r="F37" s="48"/>
      <c r="G37" s="48"/>
    </row>
    <row r="38" spans="1:7" ht="14.25" customHeight="1" x14ac:dyDescent="0.3">
      <c r="A38" s="57"/>
      <c r="B38" s="48"/>
      <c r="C38" s="48"/>
      <c r="D38" s="48"/>
      <c r="E38" s="48"/>
      <c r="F38" s="48"/>
      <c r="G38" s="48"/>
    </row>
    <row r="39" spans="1:7" ht="14.25" customHeight="1" x14ac:dyDescent="0.3">
      <c r="A39" s="207"/>
      <c r="B39" s="207"/>
      <c r="C39" s="207"/>
      <c r="D39" s="207"/>
      <c r="E39" s="207"/>
      <c r="F39" s="207"/>
      <c r="G39" s="48"/>
    </row>
    <row r="40" spans="1:7" ht="14.25" customHeight="1" x14ac:dyDescent="0.3">
      <c r="A40" s="57"/>
      <c r="B40" s="48"/>
      <c r="C40" s="48"/>
      <c r="D40" s="48"/>
      <c r="E40" s="48"/>
      <c r="F40" s="48"/>
      <c r="G40" s="48"/>
    </row>
    <row r="41" spans="1:7" ht="14.25" customHeight="1" x14ac:dyDescent="0.3">
      <c r="A41" s="48"/>
      <c r="B41" s="48"/>
      <c r="C41" s="48"/>
      <c r="D41" s="48"/>
      <c r="E41" s="48"/>
      <c r="F41" s="48"/>
      <c r="G41" s="48"/>
    </row>
    <row r="42" spans="1:7" ht="14.25" customHeight="1" x14ac:dyDescent="0.3">
      <c r="A42" s="65"/>
      <c r="B42" s="48"/>
      <c r="C42" s="48"/>
      <c r="D42" s="48"/>
      <c r="E42" s="48"/>
      <c r="F42" s="48"/>
      <c r="G42" s="48"/>
    </row>
    <row r="43" spans="1:7" ht="14.25" customHeight="1" x14ac:dyDescent="0.3">
      <c r="A43" s="57"/>
      <c r="B43" s="48"/>
      <c r="C43" s="48"/>
      <c r="D43" s="48"/>
      <c r="E43" s="48"/>
      <c r="F43" s="48"/>
      <c r="G43" s="48"/>
    </row>
    <row r="44" spans="1:7" ht="14.25" customHeight="1" x14ac:dyDescent="0.3">
      <c r="A44" s="48"/>
      <c r="B44" s="48"/>
      <c r="C44" s="48"/>
      <c r="D44" s="48"/>
      <c r="E44" s="48"/>
      <c r="F44" s="48"/>
      <c r="G44" s="48"/>
    </row>
    <row r="45" spans="1:7" ht="14.25" customHeight="1" x14ac:dyDescent="0.3">
      <c r="A45" s="223" t="s">
        <v>702</v>
      </c>
      <c r="B45" s="224"/>
      <c r="C45" s="224"/>
      <c r="D45" s="224"/>
      <c r="E45" s="224"/>
      <c r="F45" s="224"/>
      <c r="G45" s="48"/>
    </row>
    <row r="46" spans="1:7" ht="14.25" customHeight="1" x14ac:dyDescent="0.3">
      <c r="A46" s="48"/>
      <c r="B46" s="48"/>
      <c r="C46" s="48"/>
      <c r="D46" s="48"/>
      <c r="E46" s="48"/>
      <c r="F46" s="48"/>
      <c r="G46" s="48"/>
    </row>
    <row r="47" spans="1:7" ht="14.25" customHeight="1" x14ac:dyDescent="0.3">
      <c r="A47" s="65" t="s">
        <v>703</v>
      </c>
      <c r="B47" s="48"/>
      <c r="C47" s="48"/>
      <c r="D47" s="48"/>
      <c r="E47" s="48"/>
      <c r="F47" s="48"/>
      <c r="G47" s="48"/>
    </row>
    <row r="48" spans="1:7" ht="14.25" customHeight="1" x14ac:dyDescent="0.3">
      <c r="A48" s="207" t="s">
        <v>704</v>
      </c>
      <c r="B48" s="207"/>
      <c r="C48" s="207"/>
      <c r="D48" s="207"/>
      <c r="E48" s="207"/>
      <c r="F48" s="207"/>
      <c r="G48" s="48"/>
    </row>
    <row r="49" spans="1:7" ht="14.25" customHeight="1" x14ac:dyDescent="0.3">
      <c r="A49" s="57" t="s">
        <v>705</v>
      </c>
      <c r="B49" s="48"/>
      <c r="C49" s="48"/>
      <c r="D49" s="48"/>
      <c r="E49" s="48"/>
      <c r="F49" s="48"/>
      <c r="G49" s="48"/>
    </row>
    <row r="50" spans="1:7" ht="14.25" customHeight="1" x14ac:dyDescent="0.3">
      <c r="A50" s="57" t="s">
        <v>706</v>
      </c>
      <c r="B50" s="48"/>
      <c r="C50" s="48"/>
      <c r="D50" s="48"/>
      <c r="E50" s="48"/>
      <c r="F50" s="48"/>
      <c r="G50" s="48"/>
    </row>
    <row r="51" spans="1:7" ht="14.25" customHeight="1" x14ac:dyDescent="0.3">
      <c r="A51" s="581" t="s">
        <v>707</v>
      </c>
      <c r="B51" s="48"/>
      <c r="C51" s="48"/>
      <c r="D51" s="48"/>
      <c r="E51" s="48"/>
      <c r="F51" s="48"/>
      <c r="G51" s="48"/>
    </row>
    <row r="52" spans="1:7" ht="14.25" customHeight="1" x14ac:dyDescent="0.3">
      <c r="A52" s="582" t="s">
        <v>708</v>
      </c>
      <c r="B52" s="48"/>
      <c r="C52" s="48"/>
      <c r="D52" s="48"/>
      <c r="E52" s="48"/>
      <c r="F52" s="48"/>
      <c r="G52" s="48"/>
    </row>
    <row r="53" spans="1:7" ht="14.25" customHeight="1" x14ac:dyDescent="0.3">
      <c r="A53" s="48"/>
      <c r="B53" s="48"/>
      <c r="C53" s="48"/>
      <c r="D53" s="48"/>
      <c r="E53" s="48"/>
      <c r="F53" s="48"/>
      <c r="G53" s="48"/>
    </row>
    <row r="54" spans="1:7" ht="14.25" customHeight="1" x14ac:dyDescent="0.3">
      <c r="A54" s="65" t="s">
        <v>709</v>
      </c>
      <c r="B54" s="48"/>
      <c r="C54" s="48"/>
      <c r="D54" s="48"/>
      <c r="E54" s="48"/>
      <c r="F54" s="48"/>
      <c r="G54" s="48"/>
    </row>
    <row r="55" spans="1:7" ht="14.25" customHeight="1" x14ac:dyDescent="0.3">
      <c r="A55" s="57" t="str">
        <f>"•  Even in the worst case (₹"&amp;TEXT(B15,"0")&amp;"/share), the intrinsic value remains substantial — driven by projected EBITDA margins expanding from "&amp;TEXT('The 3-Statement Projection'!C16,"0.0%")&amp;" (FY25A) to "&amp;TEXT('The 3-Statement Projection'!K16,"0.0%")&amp;" (FY33E) and sustained deleveraging through the 8-year forecast."</f>
        <v>•  Even in the worst case (₹466/share), the intrinsic value remains substantial — driven by projected EBITDA margins expanding from 10.7% (FY25A) to 16.8% (FY33E) and sustained deleveraging through the 8-year forecast.</v>
      </c>
      <c r="B55" s="48"/>
      <c r="C55" s="48"/>
      <c r="D55" s="48"/>
      <c r="E55" s="48"/>
      <c r="F55" s="48"/>
      <c r="G55" s="48"/>
    </row>
    <row r="56" spans="1:7" ht="14.25" customHeight="1" x14ac:dyDescent="0.3">
      <c r="A56" s="57" t="str">
        <f>"•  The valuation is highly sensitive to WACC: a 100bps increase compresses value by ~₹"&amp;TEXT(ROUND(D13-D15,0),"0")&amp;"/share. Terminal growth has a comparable effect (~₹"&amp;TEXT(ROUND(D13-B13,0),"0")&amp;"/share per 200bps) — notably less sensitive with 8yr explicit FCFF reducing TV dependence."</f>
        <v>•  The valuation is highly sensitive to WACC: a 100bps increase compresses value by ~₹60/share. Terminal growth has a comparable effect (~₹54/share per 200bps) — notably less sensitive with 8yr explicit FCFF reducing TV dependence.</v>
      </c>
      <c r="B56" s="48"/>
      <c r="C56" s="48"/>
      <c r="D56" s="48"/>
      <c r="E56" s="48"/>
      <c r="F56" s="48"/>
      <c r="G56" s="48"/>
    </row>
    <row r="57" spans="1:7" ht="14.25" customHeight="1" x14ac:dyDescent="0.3">
      <c r="A57" s="57" t="str">
        <f>"•  ~"&amp;TEXT('WACC &amp; DCF Valuation'!B67,"0.0%")&amp;" of Enterprise Value comes from the Terminal Value (down from ~74% in the 4-year model), making the 8-year forecast significantly more robust to terminal assumptions."</f>
        <v>•  ~38.7% of Enterprise Value comes from the Terminal Value (down from ~74% in the 4-year model), making the 8-year forecast significantly more robust to terminal assumptions.</v>
      </c>
      <c r="B57" s="48"/>
      <c r="C57" s="48"/>
      <c r="D57" s="48"/>
      <c r="E57" s="48"/>
      <c r="F57" s="48"/>
      <c r="G57" s="48"/>
    </row>
    <row r="58" spans="1:7" ht="14.25" customHeight="1" x14ac:dyDescent="0.3">
      <c r="A58" s="57" t="str">
        <f>"•  The ₹"&amp;TEXT(ROUND(F11-B15,0),"0")&amp;"/share spread (₹"&amp;TEXT(B15,"0")&amp;" to ₹"&amp;TEXT(F11,"0")&amp;") reflects the uncertainty from WACC and terminal-growth flex. Narrower than a 4-year model would yield, given the longer explicit forecast period. Still appropriate for a cyclical steel-linked company."</f>
        <v>•  The ₹281/share spread (₹466 to ₹747) reflects the uncertainty from WACC and terminal-growth flex. Narrower than a 4-year model would yield, given the longer explicit forecast period. Still appropriate for a cyclical steel-linked company.</v>
      </c>
      <c r="B58" s="48"/>
      <c r="C58" s="48"/>
      <c r="D58" s="48"/>
      <c r="E58" s="48"/>
      <c r="F58" s="48"/>
      <c r="G58" s="48"/>
    </row>
  </sheetData>
  <pageMargins left="0.7" right="0.7" top="0.75" bottom="0.75"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I58"/>
  <sheetViews>
    <sheetView showGridLines="0" zoomScale="90" zoomScaleNormal="90" workbookViewId="0">
      <pane ySplit="2" topLeftCell="A31" activePane="bottomLeft" state="frozen"/>
      <selection pane="bottomLeft" activeCell="D36" sqref="D36"/>
    </sheetView>
  </sheetViews>
  <sheetFormatPr defaultColWidth="8.6640625" defaultRowHeight="14.4" x14ac:dyDescent="0.3"/>
  <cols>
    <col min="1" max="1" width="40.77734375" customWidth="1"/>
    <col min="2" max="2" width="10.21875" customWidth="1"/>
    <col min="3" max="4" width="16.6640625" customWidth="1"/>
    <col min="5" max="5" width="18.5546875" customWidth="1"/>
    <col min="6" max="6" width="16.6640625" customWidth="1"/>
    <col min="7" max="7" width="15.77734375" customWidth="1"/>
    <col min="8" max="8" width="13.88671875" customWidth="1"/>
    <col min="9" max="9" width="13" customWidth="1"/>
  </cols>
  <sheetData>
    <row r="1" spans="1:9" ht="24" customHeight="1" x14ac:dyDescent="0.3">
      <c r="A1" s="164" t="s">
        <v>710</v>
      </c>
      <c r="B1" s="48"/>
      <c r="C1" s="48"/>
      <c r="D1" s="48"/>
      <c r="E1" s="48"/>
      <c r="F1" s="48"/>
      <c r="G1" s="48"/>
      <c r="H1" s="48"/>
      <c r="I1" s="48"/>
    </row>
    <row r="2" spans="1:9" ht="18" customHeight="1" x14ac:dyDescent="0.3">
      <c r="A2" s="60" t="s">
        <v>711</v>
      </c>
      <c r="B2" s="48"/>
      <c r="C2" s="48"/>
      <c r="D2" s="48"/>
      <c r="E2" s="48"/>
      <c r="F2" s="48"/>
      <c r="G2" s="48"/>
      <c r="H2" s="48"/>
      <c r="I2" s="48"/>
    </row>
    <row r="3" spans="1:9" ht="14.25" customHeight="1" x14ac:dyDescent="0.3">
      <c r="A3" s="207"/>
      <c r="B3" s="207"/>
      <c r="C3" s="207"/>
      <c r="D3" s="207"/>
      <c r="E3" s="207"/>
      <c r="F3" s="207"/>
      <c r="G3" s="207"/>
      <c r="H3" s="207"/>
      <c r="I3" s="207"/>
    </row>
    <row r="4" spans="1:9" ht="14.25" customHeight="1" x14ac:dyDescent="0.3">
      <c r="A4" s="583" t="s">
        <v>712</v>
      </c>
      <c r="B4" s="583"/>
      <c r="C4" s="583"/>
      <c r="D4" s="583"/>
      <c r="E4" s="583"/>
      <c r="F4" s="583"/>
      <c r="G4" s="583"/>
      <c r="H4" s="583"/>
      <c r="I4" s="583"/>
    </row>
    <row r="5" spans="1:9" ht="14.25" customHeight="1" x14ac:dyDescent="0.3">
      <c r="A5" s="48"/>
      <c r="B5" s="48"/>
      <c r="C5" s="48"/>
      <c r="D5" s="48"/>
      <c r="E5" s="48"/>
      <c r="F5" s="48"/>
      <c r="G5" s="48"/>
      <c r="H5" s="48"/>
      <c r="I5" s="48"/>
    </row>
    <row r="6" spans="1:9" ht="31.5" customHeight="1" x14ac:dyDescent="0.3">
      <c r="A6" s="584" t="s">
        <v>713</v>
      </c>
      <c r="B6" s="585" t="s">
        <v>714</v>
      </c>
      <c r="C6" s="585" t="s">
        <v>715</v>
      </c>
      <c r="D6" s="585" t="s">
        <v>716</v>
      </c>
      <c r="E6" s="585" t="s">
        <v>717</v>
      </c>
      <c r="F6" s="585" t="s">
        <v>718</v>
      </c>
      <c r="G6" s="585" t="s">
        <v>719</v>
      </c>
      <c r="H6" s="585" t="s">
        <v>720</v>
      </c>
      <c r="I6" s="586" t="s">
        <v>721</v>
      </c>
    </row>
    <row r="7" spans="1:9" ht="14.25" customHeight="1" x14ac:dyDescent="0.3">
      <c r="A7" s="518" t="s">
        <v>722</v>
      </c>
      <c r="B7" s="587" t="s">
        <v>723</v>
      </c>
      <c r="C7" s="588">
        <v>8596</v>
      </c>
      <c r="D7" s="588">
        <v>1772</v>
      </c>
      <c r="E7" s="589">
        <f>C7+D7</f>
        <v>10368</v>
      </c>
      <c r="F7" s="588">
        <v>976</v>
      </c>
      <c r="G7" s="590">
        <f>E7/F7</f>
        <v>10.622950819672131</v>
      </c>
      <c r="H7" s="591">
        <v>48.61</v>
      </c>
      <c r="I7" s="592" t="s">
        <v>724</v>
      </c>
    </row>
    <row r="8" spans="1:9" ht="14.25" customHeight="1" x14ac:dyDescent="0.3">
      <c r="A8" s="593" t="s">
        <v>725</v>
      </c>
      <c r="B8" s="594" t="s">
        <v>726</v>
      </c>
      <c r="C8" s="595" t="s">
        <v>156</v>
      </c>
      <c r="D8" s="595" t="s">
        <v>156</v>
      </c>
      <c r="E8" s="596" t="s">
        <v>156</v>
      </c>
      <c r="F8" s="595" t="s">
        <v>156</v>
      </c>
      <c r="G8" s="597" t="s">
        <v>156</v>
      </c>
      <c r="H8" s="595" t="s">
        <v>156</v>
      </c>
      <c r="I8" s="598" t="s">
        <v>727</v>
      </c>
    </row>
    <row r="9" spans="1:9" ht="14.25" customHeight="1" x14ac:dyDescent="0.3">
      <c r="A9" s="48" t="s">
        <v>1267</v>
      </c>
      <c r="B9" s="587" t="s">
        <v>1268</v>
      </c>
      <c r="C9" s="599">
        <v>12500</v>
      </c>
      <c r="D9" s="599">
        <v>3200</v>
      </c>
      <c r="E9" s="589">
        <f>C9+D9</f>
        <v>15700</v>
      </c>
      <c r="F9" s="599">
        <v>3100</v>
      </c>
      <c r="G9" s="590">
        <v>5.0999999999999996</v>
      </c>
      <c r="H9" s="48"/>
      <c r="I9" s="600" t="s">
        <v>1269</v>
      </c>
    </row>
    <row r="10" spans="1:9" ht="14.25" customHeight="1" x14ac:dyDescent="0.3">
      <c r="A10" s="518" t="s">
        <v>1270</v>
      </c>
      <c r="B10" s="587" t="s">
        <v>1271</v>
      </c>
      <c r="C10" s="588">
        <v>2800</v>
      </c>
      <c r="D10" s="588">
        <v>4500</v>
      </c>
      <c r="E10" s="601">
        <f>C10+D10</f>
        <v>7300</v>
      </c>
      <c r="F10" s="588">
        <v>1500</v>
      </c>
      <c r="G10" s="602">
        <v>4.9000000000000004</v>
      </c>
      <c r="H10" s="587"/>
      <c r="I10" s="600" t="s">
        <v>1269</v>
      </c>
    </row>
    <row r="11" spans="1:9" ht="14.25" customHeight="1" x14ac:dyDescent="0.3">
      <c r="A11" s="603" t="s">
        <v>1272</v>
      </c>
      <c r="B11" s="604" t="s">
        <v>1268</v>
      </c>
      <c r="C11" s="605">
        <v>5600</v>
      </c>
      <c r="D11" s="605">
        <v>1800</v>
      </c>
      <c r="E11" s="606">
        <f>C11+D11</f>
        <v>7400</v>
      </c>
      <c r="F11" s="605">
        <v>1400</v>
      </c>
      <c r="G11" s="602">
        <v>5.3</v>
      </c>
      <c r="H11" s="604"/>
      <c r="I11" s="607" t="s">
        <v>1269</v>
      </c>
    </row>
    <row r="12" spans="1:9" ht="14.25" customHeight="1" x14ac:dyDescent="0.3">
      <c r="A12" s="48"/>
      <c r="B12" s="48"/>
      <c r="C12" s="48"/>
      <c r="D12" s="48"/>
      <c r="E12" s="48"/>
      <c r="F12" s="48"/>
      <c r="G12" s="48"/>
      <c r="H12" s="48"/>
      <c r="I12" s="48"/>
    </row>
    <row r="13" spans="1:9" ht="14.25" customHeight="1" x14ac:dyDescent="0.3">
      <c r="A13" s="608" t="s">
        <v>1273</v>
      </c>
      <c r="B13" s="224"/>
      <c r="C13" s="224"/>
      <c r="D13" s="224"/>
      <c r="E13" s="224"/>
      <c r="F13" s="224"/>
      <c r="G13" s="224"/>
      <c r="H13" s="224"/>
      <c r="I13" s="224"/>
    </row>
    <row r="14" spans="1:9" ht="14.25" customHeight="1" x14ac:dyDescent="0.3">
      <c r="A14" s="207"/>
      <c r="B14" s="207"/>
      <c r="C14" s="207"/>
      <c r="D14" s="207"/>
      <c r="E14" s="207"/>
      <c r="F14" s="207"/>
      <c r="G14" s="207"/>
      <c r="H14" s="207"/>
      <c r="I14" s="207"/>
    </row>
    <row r="15" spans="1:9" ht="14.25" customHeight="1" x14ac:dyDescent="0.3">
      <c r="A15" s="609" t="s">
        <v>728</v>
      </c>
      <c r="B15" s="610" t="s">
        <v>729</v>
      </c>
      <c r="C15" s="48"/>
      <c r="D15" s="48"/>
      <c r="E15" s="48"/>
      <c r="F15" s="48"/>
      <c r="G15" s="48"/>
      <c r="H15" s="48"/>
      <c r="I15" s="48"/>
    </row>
    <row r="16" spans="1:9" ht="14.25" customHeight="1" x14ac:dyDescent="0.3">
      <c r="A16" s="58" t="s">
        <v>1274</v>
      </c>
      <c r="B16" s="590">
        <f>G7</f>
        <v>10.622950819672131</v>
      </c>
      <c r="C16" s="48"/>
      <c r="D16" s="48"/>
      <c r="E16" s="48"/>
      <c r="F16" s="48"/>
      <c r="G16" s="48"/>
      <c r="H16" s="48"/>
      <c r="I16" s="48"/>
    </row>
    <row r="17" spans="1:9" ht="14.25" customHeight="1" x14ac:dyDescent="0.3">
      <c r="A17" s="74" t="s">
        <v>1275</v>
      </c>
      <c r="B17" s="611">
        <f>MEDIAN(G9:G11)</f>
        <v>5.0999999999999996</v>
      </c>
      <c r="C17" s="48"/>
      <c r="D17" s="48"/>
      <c r="E17" s="48"/>
      <c r="F17" s="48"/>
      <c r="G17" s="48"/>
      <c r="H17" s="48"/>
      <c r="I17" s="48"/>
    </row>
    <row r="18" spans="1:9" ht="14.25" customHeight="1" x14ac:dyDescent="0.3">
      <c r="A18" s="74" t="s">
        <v>1276</v>
      </c>
      <c r="B18" s="594" t="s">
        <v>1277</v>
      </c>
      <c r="C18" s="48"/>
      <c r="D18" s="48"/>
      <c r="E18" s="48"/>
      <c r="F18" s="48"/>
      <c r="G18" s="48"/>
      <c r="H18" s="48"/>
      <c r="I18" s="48"/>
    </row>
    <row r="19" spans="1:9" ht="14.25" customHeight="1" x14ac:dyDescent="0.3">
      <c r="A19" s="65" t="s">
        <v>1278</v>
      </c>
      <c r="B19" s="612" t="s">
        <v>1279</v>
      </c>
      <c r="C19" s="48"/>
      <c r="D19" s="48"/>
      <c r="E19" s="48"/>
      <c r="F19" s="48"/>
      <c r="G19" s="48"/>
      <c r="H19" s="48"/>
      <c r="I19" s="48"/>
    </row>
    <row r="20" spans="1:9" ht="14.25" customHeight="1" x14ac:dyDescent="0.3">
      <c r="A20" s="48"/>
      <c r="B20" s="48"/>
      <c r="C20" s="48"/>
      <c r="D20" s="48"/>
      <c r="E20" s="48"/>
      <c r="F20" s="48"/>
      <c r="G20" s="48"/>
      <c r="H20" s="48"/>
      <c r="I20" s="48"/>
    </row>
    <row r="21" spans="1:9" ht="14.25" customHeight="1" x14ac:dyDescent="0.3">
      <c r="A21" s="48"/>
      <c r="B21" s="48"/>
      <c r="C21" s="48"/>
      <c r="D21" s="48"/>
      <c r="E21" s="48"/>
      <c r="F21" s="48"/>
      <c r="G21" s="48"/>
      <c r="H21" s="48"/>
      <c r="I21" s="48"/>
    </row>
    <row r="22" spans="1:9" ht="14.25" customHeight="1" x14ac:dyDescent="0.3">
      <c r="A22" s="48"/>
      <c r="B22" s="48"/>
      <c r="C22" s="48"/>
      <c r="D22" s="48"/>
      <c r="E22" s="48"/>
      <c r="F22" s="48"/>
      <c r="G22" s="48"/>
      <c r="H22" s="48"/>
      <c r="I22" s="48"/>
    </row>
    <row r="23" spans="1:9" ht="14.25" customHeight="1" x14ac:dyDescent="0.3">
      <c r="A23" s="48"/>
      <c r="B23" s="48"/>
      <c r="C23" s="48"/>
      <c r="D23" s="48"/>
      <c r="E23" s="48"/>
      <c r="F23" s="48"/>
      <c r="G23" s="48"/>
      <c r="H23" s="48"/>
      <c r="I23" s="48"/>
    </row>
    <row r="24" spans="1:9" ht="14.25" customHeight="1" x14ac:dyDescent="0.3">
      <c r="A24" s="207"/>
      <c r="B24" s="207"/>
      <c r="C24" s="207"/>
      <c r="D24" s="207"/>
      <c r="E24" s="207"/>
      <c r="F24" s="207"/>
      <c r="G24" s="207"/>
      <c r="H24" s="207"/>
      <c r="I24" s="207"/>
    </row>
    <row r="25" spans="1:9" ht="14.25" customHeight="1" x14ac:dyDescent="0.3">
      <c r="A25" s="48"/>
      <c r="B25" s="48"/>
      <c r="C25" s="48"/>
      <c r="D25" s="48"/>
      <c r="E25" s="48"/>
      <c r="F25" s="48"/>
      <c r="G25" s="48"/>
      <c r="H25" s="48"/>
      <c r="I25" s="48"/>
    </row>
    <row r="26" spans="1:9" ht="14.25" customHeight="1" x14ac:dyDescent="0.3">
      <c r="A26" s="48"/>
      <c r="B26" s="48"/>
      <c r="C26" s="48"/>
      <c r="D26" s="48"/>
      <c r="E26" s="48"/>
      <c r="F26" s="48"/>
      <c r="G26" s="48"/>
      <c r="H26" s="48"/>
      <c r="I26" s="48"/>
    </row>
    <row r="27" spans="1:9" ht="14.25" customHeight="1" x14ac:dyDescent="0.3">
      <c r="A27" s="223" t="s">
        <v>730</v>
      </c>
      <c r="B27" s="224"/>
      <c r="C27" s="224"/>
      <c r="D27" s="224"/>
      <c r="E27" s="224"/>
      <c r="F27" s="224"/>
      <c r="G27" s="224"/>
      <c r="H27" s="224"/>
      <c r="I27" s="224"/>
    </row>
    <row r="28" spans="1:9" ht="14.25" customHeight="1" x14ac:dyDescent="0.3">
      <c r="A28" s="48"/>
      <c r="B28" s="48"/>
      <c r="C28" s="48"/>
      <c r="D28" s="48"/>
      <c r="E28" s="48"/>
      <c r="F28" s="48"/>
      <c r="G28" s="48"/>
      <c r="H28" s="48"/>
      <c r="I28" s="48"/>
    </row>
    <row r="29" spans="1:9" ht="27" customHeight="1" x14ac:dyDescent="0.3">
      <c r="A29" s="613"/>
      <c r="B29" s="614" t="s">
        <v>1280</v>
      </c>
      <c r="C29" s="614" t="s">
        <v>1281</v>
      </c>
      <c r="D29" s="614" t="s">
        <v>1282</v>
      </c>
      <c r="E29" s="48"/>
      <c r="F29" s="48"/>
      <c r="G29" s="48"/>
      <c r="H29" s="48"/>
      <c r="I29" s="48"/>
    </row>
    <row r="30" spans="1:9" ht="14.25" customHeight="1" x14ac:dyDescent="0.3">
      <c r="A30" s="58" t="s">
        <v>731</v>
      </c>
      <c r="B30" s="615">
        <v>5</v>
      </c>
      <c r="C30" s="615">
        <v>6</v>
      </c>
      <c r="D30" s="615">
        <v>7</v>
      </c>
      <c r="E30" s="48"/>
      <c r="F30" s="48"/>
      <c r="G30" s="48"/>
      <c r="H30" s="48"/>
      <c r="I30" s="48"/>
    </row>
    <row r="31" spans="1:9" ht="14.25" customHeight="1" x14ac:dyDescent="0.3">
      <c r="A31" s="72" t="s">
        <v>732</v>
      </c>
      <c r="B31" s="75">
        <f>'The 3-Statement Projection'!D15</f>
        <v>379.74544533633707</v>
      </c>
      <c r="C31" s="75">
        <f>'The 3-Statement Projection'!D15</f>
        <v>379.74544533633707</v>
      </c>
      <c r="D31" s="75">
        <f>'The 3-Statement Projection'!D15</f>
        <v>379.74544533633707</v>
      </c>
      <c r="E31" s="48"/>
      <c r="F31" s="48"/>
      <c r="G31" s="48"/>
      <c r="H31" s="48"/>
      <c r="I31" s="48"/>
    </row>
    <row r="32" spans="1:9" ht="14.25" customHeight="1" x14ac:dyDescent="0.3">
      <c r="A32" s="207" t="s">
        <v>733</v>
      </c>
      <c r="B32" s="616">
        <f>B30*B31</f>
        <v>1898.7272266816854</v>
      </c>
      <c r="C32" s="616">
        <f>C30*C31</f>
        <v>2278.4726720180224</v>
      </c>
      <c r="D32" s="616">
        <f>D30*D31</f>
        <v>2658.2181173543595</v>
      </c>
      <c r="E32" s="207"/>
      <c r="F32" s="207"/>
      <c r="G32" s="207"/>
      <c r="H32" s="207"/>
      <c r="I32" s="207"/>
    </row>
    <row r="33" spans="1:9" ht="14.25" customHeight="1" x14ac:dyDescent="0.3">
      <c r="A33" s="72" t="s">
        <v>734</v>
      </c>
      <c r="B33" s="75">
        <f>'WACC &amp; DCF Valuation'!B73</f>
        <v>545.81999999999994</v>
      </c>
      <c r="C33" s="75">
        <f>B33</f>
        <v>545.81999999999994</v>
      </c>
      <c r="D33" s="75">
        <f>B33</f>
        <v>545.81999999999994</v>
      </c>
      <c r="E33" s="48"/>
      <c r="F33" s="48"/>
      <c r="G33" s="48"/>
      <c r="H33" s="48"/>
      <c r="I33" s="48"/>
    </row>
    <row r="34" spans="1:9" ht="14.25" customHeight="1" x14ac:dyDescent="0.3">
      <c r="A34" s="72" t="s">
        <v>735</v>
      </c>
      <c r="B34" s="75">
        <f>'WACC &amp; DCF Valuation'!B74</f>
        <v>109.26</v>
      </c>
      <c r="C34" s="75">
        <f>B34</f>
        <v>109.26</v>
      </c>
      <c r="D34" s="75">
        <f>B34</f>
        <v>109.26</v>
      </c>
      <c r="E34" s="48"/>
      <c r="F34" s="48"/>
      <c r="G34" s="48"/>
      <c r="H34" s="48"/>
      <c r="I34" s="48"/>
    </row>
    <row r="35" spans="1:9" ht="14.25" customHeight="1" x14ac:dyDescent="0.3">
      <c r="A35" s="72" t="s">
        <v>736</v>
      </c>
      <c r="B35" s="75">
        <f>'WACC &amp; DCF Valuation'!B72</f>
        <v>210.18</v>
      </c>
      <c r="C35" s="75">
        <f>B35</f>
        <v>210.18</v>
      </c>
      <c r="D35" s="75">
        <f>B35</f>
        <v>210.18</v>
      </c>
      <c r="E35" s="48"/>
      <c r="F35" s="48"/>
      <c r="G35" s="48"/>
      <c r="H35" s="48"/>
      <c r="I35" s="48"/>
    </row>
    <row r="36" spans="1:9" ht="14.25" customHeight="1" x14ac:dyDescent="0.3">
      <c r="A36" s="163" t="s">
        <v>737</v>
      </c>
      <c r="B36" s="539">
        <f>B32-B33-B34+B35</f>
        <v>1453.8272266816855</v>
      </c>
      <c r="C36" s="539">
        <f>C32-C33-C34+C35</f>
        <v>1833.5726720180226</v>
      </c>
      <c r="D36" s="539">
        <f>D32-D33-D34+D35</f>
        <v>2213.3181173543599</v>
      </c>
      <c r="E36" s="48"/>
      <c r="F36" s="48"/>
      <c r="G36" s="48"/>
      <c r="H36" s="48"/>
      <c r="I36" s="48"/>
    </row>
    <row r="37" spans="1:9" ht="14.25" customHeight="1" x14ac:dyDescent="0.3">
      <c r="A37" s="72" t="s">
        <v>738</v>
      </c>
      <c r="B37" s="617">
        <f>'WACC &amp; DCF Valuation'!B80</f>
        <v>3.2429999999999999</v>
      </c>
      <c r="C37" s="617">
        <f>B37</f>
        <v>3.2429999999999999</v>
      </c>
      <c r="D37" s="617">
        <f>B37</f>
        <v>3.2429999999999999</v>
      </c>
      <c r="E37" s="48"/>
      <c r="F37" s="48"/>
      <c r="G37" s="48"/>
      <c r="H37" s="48"/>
      <c r="I37" s="48"/>
    </row>
    <row r="38" spans="1:9" ht="15" customHeight="1" x14ac:dyDescent="0.3">
      <c r="A38" s="48"/>
      <c r="B38" s="48"/>
      <c r="C38" s="48"/>
      <c r="D38" s="48"/>
      <c r="E38" s="48"/>
      <c r="F38" s="48"/>
      <c r="G38" s="48"/>
      <c r="H38" s="48"/>
      <c r="I38" s="48"/>
    </row>
    <row r="39" spans="1:9" ht="14.25" customHeight="1" x14ac:dyDescent="0.3">
      <c r="A39" s="618" t="s">
        <v>739</v>
      </c>
      <c r="B39" s="619">
        <f>B36/B37</f>
        <v>448.29701716980742</v>
      </c>
      <c r="C39" s="619">
        <f>C36/C37</f>
        <v>565.39397842060521</v>
      </c>
      <c r="D39" s="619">
        <f>D36/D37</f>
        <v>682.490939671403</v>
      </c>
      <c r="E39" s="48"/>
      <c r="F39" s="48"/>
      <c r="G39" s="48"/>
      <c r="H39" s="48"/>
      <c r="I39" s="48"/>
    </row>
    <row r="40" spans="1:9" ht="14.25" customHeight="1" x14ac:dyDescent="0.3">
      <c r="A40" s="204" t="s">
        <v>740</v>
      </c>
      <c r="B40" s="620">
        <v>0.2</v>
      </c>
      <c r="C40" s="621">
        <v>0.2</v>
      </c>
      <c r="D40" s="620">
        <v>0.2</v>
      </c>
      <c r="E40" s="48"/>
      <c r="F40" s="48"/>
      <c r="G40" s="48"/>
      <c r="H40" s="48"/>
      <c r="I40" s="48"/>
    </row>
    <row r="41" spans="1:9" ht="15" customHeight="1" x14ac:dyDescent="0.3">
      <c r="A41" s="207"/>
      <c r="B41" s="622"/>
      <c r="C41" s="622"/>
      <c r="D41" s="622"/>
      <c r="E41" s="207"/>
      <c r="F41" s="207"/>
      <c r="G41" s="207"/>
      <c r="H41" s="207"/>
      <c r="I41" s="207"/>
    </row>
    <row r="42" spans="1:9" ht="15" customHeight="1" x14ac:dyDescent="0.3">
      <c r="A42" s="623" t="s">
        <v>741</v>
      </c>
      <c r="B42" s="624">
        <f>B39*(1-B40)</f>
        <v>358.63761373584595</v>
      </c>
      <c r="C42" s="624">
        <f>C39*(1-C40)</f>
        <v>452.31518273648419</v>
      </c>
      <c r="D42" s="625">
        <f>D39*(1-D40)</f>
        <v>545.99275173712238</v>
      </c>
      <c r="E42" s="48"/>
      <c r="F42" s="48"/>
      <c r="G42" s="48"/>
      <c r="H42" s="48"/>
      <c r="I42" s="48"/>
    </row>
    <row r="43" spans="1:9" ht="14.25" customHeight="1" x14ac:dyDescent="0.3">
      <c r="A43" s="48"/>
      <c r="B43" s="48"/>
      <c r="C43" s="48"/>
      <c r="D43" s="48"/>
      <c r="E43" s="48"/>
      <c r="F43" s="48"/>
      <c r="G43" s="48"/>
      <c r="H43" s="48"/>
      <c r="I43" s="48"/>
    </row>
    <row r="44" spans="1:9" ht="14.25" customHeight="1" x14ac:dyDescent="0.3">
      <c r="A44" s="223" t="s">
        <v>742</v>
      </c>
      <c r="B44" s="224"/>
      <c r="C44" s="224"/>
      <c r="D44" s="224"/>
      <c r="E44" s="224"/>
      <c r="F44" s="224"/>
      <c r="G44" s="224"/>
      <c r="H44" s="224"/>
      <c r="I44" s="224"/>
    </row>
    <row r="45" spans="1:9" ht="14.25" customHeight="1" x14ac:dyDescent="0.3">
      <c r="A45" s="207"/>
      <c r="B45" s="207"/>
      <c r="C45" s="207"/>
      <c r="D45" s="207"/>
      <c r="E45" s="207"/>
      <c r="F45" s="207"/>
      <c r="G45" s="207"/>
      <c r="H45" s="207"/>
      <c r="I45" s="207"/>
    </row>
    <row r="46" spans="1:9" ht="14.25" customHeight="1" x14ac:dyDescent="0.3">
      <c r="A46" s="609" t="s">
        <v>743</v>
      </c>
      <c r="B46" s="610" t="s">
        <v>175</v>
      </c>
      <c r="C46" s="610" t="s">
        <v>744</v>
      </c>
      <c r="D46" s="610" t="s">
        <v>745</v>
      </c>
      <c r="E46" s="48"/>
      <c r="F46" s="48"/>
      <c r="G46" s="48"/>
      <c r="H46" s="48"/>
      <c r="I46" s="48"/>
    </row>
    <row r="47" spans="1:9" ht="14.25" customHeight="1" x14ac:dyDescent="0.3">
      <c r="A47" s="58" t="s">
        <v>746</v>
      </c>
      <c r="B47" s="626">
        <f>'Sensitivity Analysis'!C20</f>
        <v>465.82130649331788</v>
      </c>
      <c r="C47" s="627">
        <f>'WACC &amp; DCF Valuation'!B81</f>
        <v>514.75361681610957</v>
      </c>
      <c r="D47" s="626">
        <f>'Sensitivity Analysis'!C18</f>
        <v>746.730601731153</v>
      </c>
      <c r="E47" s="48"/>
      <c r="F47" s="48"/>
      <c r="G47" s="48"/>
      <c r="H47" s="48"/>
      <c r="I47" s="48"/>
    </row>
    <row r="48" spans="1:9" ht="14.25" customHeight="1" x14ac:dyDescent="0.3">
      <c r="A48" s="58" t="s">
        <v>1283</v>
      </c>
      <c r="B48" s="628">
        <f>B42</f>
        <v>358.63761373584595</v>
      </c>
      <c r="C48" s="628">
        <f>C42</f>
        <v>452.31518273648419</v>
      </c>
      <c r="D48" s="628">
        <f>D42</f>
        <v>545.99275173712238</v>
      </c>
      <c r="E48" s="48"/>
      <c r="F48" s="48"/>
      <c r="G48" s="48"/>
      <c r="H48" s="48"/>
      <c r="I48" s="48"/>
    </row>
    <row r="49" spans="1:9" ht="15" customHeight="1" x14ac:dyDescent="0.3">
      <c r="A49" s="48"/>
      <c r="B49" s="48"/>
      <c r="C49" s="48"/>
      <c r="D49" s="48"/>
      <c r="E49" s="48"/>
      <c r="F49" s="48"/>
      <c r="G49" s="48"/>
      <c r="H49" s="48"/>
      <c r="I49" s="48"/>
    </row>
    <row r="50" spans="1:9" ht="15.75" customHeight="1" x14ac:dyDescent="0.3">
      <c r="A50" s="225" t="s">
        <v>747</v>
      </c>
      <c r="B50" s="629">
        <f>AVERAGE(C47,C48)</f>
        <v>483.53439977629688</v>
      </c>
      <c r="C50" s="48"/>
      <c r="D50" s="48"/>
      <c r="E50" s="48"/>
      <c r="F50" s="48"/>
      <c r="G50" s="48"/>
      <c r="H50" s="48"/>
      <c r="I50" s="48"/>
    </row>
    <row r="51" spans="1:9" ht="14.25" customHeight="1" x14ac:dyDescent="0.3">
      <c r="A51" s="48"/>
      <c r="B51" s="48"/>
      <c r="C51" s="48"/>
      <c r="D51" s="48"/>
      <c r="E51" s="48"/>
      <c r="F51" s="48"/>
      <c r="G51" s="48"/>
      <c r="H51" s="48"/>
      <c r="I51" s="48"/>
    </row>
    <row r="52" spans="1:9" ht="14.25" customHeight="1" x14ac:dyDescent="0.3">
      <c r="A52" s="630" t="s">
        <v>748</v>
      </c>
      <c r="B52" s="48"/>
      <c r="C52" s="48"/>
      <c r="D52" s="48"/>
      <c r="E52" s="48"/>
      <c r="F52" s="48"/>
      <c r="G52" s="48"/>
      <c r="H52" s="48"/>
      <c r="I52" s="48"/>
    </row>
    <row r="53" spans="1:9" ht="14.25" customHeight="1" x14ac:dyDescent="0.3">
      <c r="A53" s="60" t="s">
        <v>1284</v>
      </c>
      <c r="B53" s="48"/>
      <c r="C53" s="48"/>
      <c r="D53" s="48"/>
      <c r="E53" s="48"/>
      <c r="F53" s="48"/>
      <c r="G53" s="48"/>
      <c r="H53" s="48"/>
      <c r="I53" s="48"/>
    </row>
    <row r="54" spans="1:9" ht="14.25" customHeight="1" x14ac:dyDescent="0.3">
      <c r="A54" s="60" t="s">
        <v>1285</v>
      </c>
      <c r="B54" s="48"/>
      <c r="C54" s="48"/>
      <c r="D54" s="48"/>
      <c r="E54" s="48"/>
      <c r="F54" s="48"/>
      <c r="G54" s="48"/>
      <c r="H54" s="48"/>
      <c r="I54" s="48"/>
    </row>
    <row r="55" spans="1:9" ht="14.25" customHeight="1" x14ac:dyDescent="0.3">
      <c r="A55" s="60" t="s">
        <v>1286</v>
      </c>
      <c r="B55" s="48"/>
      <c r="C55" s="48"/>
      <c r="D55" s="48"/>
      <c r="E55" s="48"/>
      <c r="F55" s="48"/>
      <c r="G55" s="48"/>
      <c r="H55" s="48"/>
      <c r="I55" s="48"/>
    </row>
    <row r="56" spans="1:9" ht="14.25" customHeight="1" x14ac:dyDescent="0.3">
      <c r="A56" s="60" t="s">
        <v>1287</v>
      </c>
      <c r="B56" s="48"/>
      <c r="C56" s="48"/>
      <c r="D56" s="48"/>
      <c r="E56" s="48"/>
      <c r="F56" s="48"/>
      <c r="G56" s="48"/>
      <c r="H56" s="48"/>
      <c r="I56" s="48"/>
    </row>
    <row r="57" spans="1:9" ht="14.25" customHeight="1" x14ac:dyDescent="0.3">
      <c r="A57" s="60" t="s">
        <v>1316</v>
      </c>
      <c r="B57" s="48"/>
      <c r="C57" s="48"/>
      <c r="D57" s="48"/>
      <c r="E57" s="48"/>
      <c r="F57" s="48"/>
      <c r="G57" s="48"/>
      <c r="H57" s="48"/>
      <c r="I57" s="48"/>
    </row>
    <row r="58" spans="1:9" ht="14.25" customHeight="1" x14ac:dyDescent="0.3">
      <c r="A58" s="60" t="s">
        <v>1288</v>
      </c>
      <c r="B58" s="48"/>
      <c r="C58" s="48"/>
      <c r="D58" s="48"/>
      <c r="E58" s="48"/>
      <c r="F58" s="48"/>
      <c r="G58" s="48"/>
      <c r="H58" s="48"/>
      <c r="I58" s="48"/>
    </row>
  </sheetData>
  <pageMargins left="0.7" right="0.7" top="0.75" bottom="0.75"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2"/>
  <sheetViews>
    <sheetView showGridLines="0" zoomScaleNormal="100" workbookViewId="0">
      <selection activeCell="C28" sqref="C28"/>
    </sheetView>
  </sheetViews>
  <sheetFormatPr defaultColWidth="8.6640625" defaultRowHeight="14.4" x14ac:dyDescent="0.3"/>
  <cols>
    <col min="1" max="1" width="83.33203125" customWidth="1"/>
  </cols>
  <sheetData>
    <row r="1" spans="1:1" ht="24" customHeight="1" x14ac:dyDescent="0.3">
      <c r="A1" s="832" t="s">
        <v>1255</v>
      </c>
    </row>
    <row r="2" spans="1:1" x14ac:dyDescent="0.3">
      <c r="A2" s="833" t="s">
        <v>1344</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L131"/>
  <sheetViews>
    <sheetView showGridLines="0" topLeftCell="C1" zoomScaleNormal="100" workbookViewId="0">
      <selection activeCell="G18" sqref="G18"/>
    </sheetView>
  </sheetViews>
  <sheetFormatPr defaultColWidth="8.6640625" defaultRowHeight="14.4" x14ac:dyDescent="0.3"/>
  <cols>
    <col min="1" max="1" width="1.88671875" customWidth="1"/>
    <col min="2" max="6" width="20.33203125" customWidth="1"/>
    <col min="7" max="12" width="14.77734375" customWidth="1"/>
  </cols>
  <sheetData>
    <row r="1" spans="1:12" ht="24" customHeight="1" x14ac:dyDescent="0.3">
      <c r="A1" s="164"/>
      <c r="B1" s="164"/>
      <c r="C1" s="164"/>
      <c r="D1" s="164"/>
      <c r="E1" s="164"/>
      <c r="F1" s="164"/>
      <c r="G1" s="164"/>
      <c r="H1" s="164"/>
      <c r="I1" s="164"/>
      <c r="J1" s="164"/>
      <c r="K1" s="164"/>
      <c r="L1" s="164"/>
    </row>
    <row r="2" spans="1:12" ht="14.25" customHeight="1" x14ac:dyDescent="0.3">
      <c r="A2" s="555"/>
      <c r="B2" s="555" t="s">
        <v>749</v>
      </c>
      <c r="C2" s="555"/>
      <c r="D2" s="555"/>
      <c r="E2" s="555"/>
      <c r="F2" s="555"/>
      <c r="G2" s="555"/>
      <c r="H2" s="555"/>
      <c r="I2" s="555"/>
      <c r="J2" s="555"/>
      <c r="K2" s="555"/>
      <c r="L2" s="555"/>
    </row>
    <row r="3" spans="1:12" ht="14.25" customHeight="1" x14ac:dyDescent="0.3">
      <c r="A3" s="77"/>
      <c r="B3" s="77" t="s">
        <v>750</v>
      </c>
      <c r="C3" s="77"/>
      <c r="D3" s="77"/>
      <c r="E3" s="77"/>
      <c r="F3" s="77"/>
      <c r="G3" s="77"/>
      <c r="H3" s="77"/>
      <c r="I3" s="77"/>
      <c r="J3" s="77"/>
      <c r="K3" s="77"/>
      <c r="L3" s="77"/>
    </row>
    <row r="4" spans="1:12" ht="14.25" customHeight="1" x14ac:dyDescent="0.3">
      <c r="A4" s="165"/>
      <c r="B4" s="77"/>
      <c r="C4" s="307">
        <v>42430</v>
      </c>
      <c r="D4" s="307">
        <v>42795</v>
      </c>
      <c r="E4" s="307">
        <v>43160</v>
      </c>
      <c r="F4" s="307">
        <v>43525</v>
      </c>
      <c r="G4" s="307">
        <v>43891</v>
      </c>
      <c r="H4" s="307">
        <v>44256</v>
      </c>
      <c r="I4" s="307">
        <v>44621</v>
      </c>
      <c r="J4" s="307">
        <v>44986</v>
      </c>
      <c r="K4" s="307">
        <v>45352</v>
      </c>
      <c r="L4" s="307">
        <v>45717</v>
      </c>
    </row>
    <row r="5" spans="1:12" ht="14.25" customHeight="1" x14ac:dyDescent="0.3">
      <c r="A5" s="165"/>
      <c r="B5" s="631"/>
      <c r="C5" s="631" t="s">
        <v>751</v>
      </c>
      <c r="D5" s="631" t="s">
        <v>751</v>
      </c>
      <c r="E5" s="631" t="s">
        <v>751</v>
      </c>
      <c r="F5" s="631" t="s">
        <v>751</v>
      </c>
      <c r="G5" s="631" t="s">
        <v>751</v>
      </c>
      <c r="H5" s="631" t="s">
        <v>751</v>
      </c>
      <c r="I5" s="631" t="s">
        <v>751</v>
      </c>
      <c r="J5" s="631" t="s">
        <v>751</v>
      </c>
      <c r="K5" s="631" t="s">
        <v>751</v>
      </c>
      <c r="L5" s="631" t="s">
        <v>751</v>
      </c>
    </row>
    <row r="6" spans="1:12" ht="14.25" customHeight="1" x14ac:dyDescent="0.3">
      <c r="A6" s="434"/>
      <c r="B6" s="632"/>
      <c r="C6" s="632" t="s">
        <v>752</v>
      </c>
      <c r="D6" s="632" t="s">
        <v>752</v>
      </c>
      <c r="E6" s="632" t="s">
        <v>752</v>
      </c>
      <c r="F6" s="632" t="s">
        <v>752</v>
      </c>
      <c r="G6" s="632" t="s">
        <v>752</v>
      </c>
      <c r="H6" s="632" t="s">
        <v>752</v>
      </c>
      <c r="I6" s="632" t="s">
        <v>752</v>
      </c>
      <c r="J6" s="632" t="s">
        <v>752</v>
      </c>
      <c r="K6" s="632" t="s">
        <v>752</v>
      </c>
      <c r="L6" s="632" t="s">
        <v>752</v>
      </c>
    </row>
    <row r="7" spans="1:12" ht="14.25" customHeight="1" x14ac:dyDescent="0.3">
      <c r="A7" s="633"/>
      <c r="B7" s="633" t="s">
        <v>218</v>
      </c>
      <c r="C7" s="633"/>
      <c r="D7" s="633"/>
      <c r="E7" s="633"/>
      <c r="F7" s="633"/>
      <c r="G7" s="633"/>
      <c r="H7" s="633"/>
      <c r="I7" s="633"/>
      <c r="J7" s="633"/>
      <c r="K7" s="633"/>
      <c r="L7" s="633"/>
    </row>
    <row r="8" spans="1:12" ht="14.25" customHeight="1" x14ac:dyDescent="0.3">
      <c r="A8" s="36"/>
      <c r="B8" s="36" t="s">
        <v>753</v>
      </c>
      <c r="C8" s="36">
        <v>374.96</v>
      </c>
      <c r="D8" s="36">
        <v>695.71</v>
      </c>
      <c r="E8" s="36">
        <v>904.55</v>
      </c>
      <c r="F8" s="36">
        <v>942.77</v>
      </c>
      <c r="G8" s="36">
        <v>767.86</v>
      </c>
      <c r="H8" s="36">
        <v>769.78</v>
      </c>
      <c r="I8" s="42">
        <v>1251.0999999999999</v>
      </c>
      <c r="J8" s="42">
        <v>2007.62</v>
      </c>
      <c r="K8" s="42">
        <v>1613.51</v>
      </c>
      <c r="L8" s="42">
        <v>1890.03</v>
      </c>
    </row>
    <row r="9" spans="1:12" ht="14.25" customHeight="1" x14ac:dyDescent="0.3">
      <c r="A9" s="36"/>
      <c r="B9" s="36" t="s">
        <v>754</v>
      </c>
      <c r="C9" s="36">
        <v>374.96</v>
      </c>
      <c r="D9" s="36">
        <v>685.96</v>
      </c>
      <c r="E9" s="36">
        <v>896.91</v>
      </c>
      <c r="F9" s="36">
        <v>937.2</v>
      </c>
      <c r="G9" s="36">
        <v>761.77</v>
      </c>
      <c r="H9" s="36">
        <v>763.46</v>
      </c>
      <c r="I9" s="42">
        <v>1242.17</v>
      </c>
      <c r="J9" s="42">
        <v>1993.32</v>
      </c>
      <c r="K9" s="42">
        <v>1572.92</v>
      </c>
      <c r="L9" s="42">
        <v>1871.33</v>
      </c>
    </row>
    <row r="10" spans="1:12" ht="14.25" customHeight="1" x14ac:dyDescent="0.3">
      <c r="A10" s="36"/>
      <c r="B10" s="36" t="s">
        <v>755</v>
      </c>
      <c r="C10" s="36"/>
      <c r="D10" s="36">
        <v>8.6199999999999992</v>
      </c>
      <c r="E10" s="36">
        <v>3.11</v>
      </c>
      <c r="F10" s="36">
        <v>5.25</v>
      </c>
      <c r="G10" s="36">
        <v>5.01</v>
      </c>
      <c r="H10" s="36">
        <v>3.34</v>
      </c>
      <c r="I10" s="36">
        <v>4.88</v>
      </c>
      <c r="J10" s="36">
        <v>4.62</v>
      </c>
      <c r="K10" s="36">
        <v>10.56</v>
      </c>
      <c r="L10" s="36">
        <v>0</v>
      </c>
    </row>
    <row r="11" spans="1:12" ht="14.25" customHeight="1" x14ac:dyDescent="0.3">
      <c r="A11" s="36"/>
      <c r="B11" s="36"/>
      <c r="C11" s="36"/>
      <c r="D11" s="36"/>
      <c r="E11" s="36"/>
      <c r="F11" s="36"/>
      <c r="G11" s="36"/>
      <c r="H11" s="36"/>
      <c r="I11" s="36"/>
      <c r="J11" s="36"/>
      <c r="K11" s="36"/>
      <c r="L11" s="36"/>
    </row>
    <row r="12" spans="1:12" ht="14.25" customHeight="1" x14ac:dyDescent="0.3">
      <c r="A12" s="36"/>
      <c r="B12" s="36" t="s">
        <v>756</v>
      </c>
      <c r="C12" s="36">
        <v>30</v>
      </c>
      <c r="D12" s="36">
        <v>-2.74</v>
      </c>
      <c r="E12" s="36">
        <v>-28.74</v>
      </c>
      <c r="F12" s="36">
        <v>44.81</v>
      </c>
      <c r="G12" s="36">
        <v>0.38</v>
      </c>
      <c r="H12" s="36">
        <v>-34.380000000000003</v>
      </c>
      <c r="I12" s="36">
        <v>155.69999999999999</v>
      </c>
      <c r="J12" s="36">
        <v>-90.53</v>
      </c>
      <c r="K12" s="36">
        <v>-42.23</v>
      </c>
      <c r="L12" s="36">
        <v>63.16</v>
      </c>
    </row>
    <row r="13" spans="1:12" ht="14.25" customHeight="1" x14ac:dyDescent="0.3">
      <c r="A13" s="36"/>
      <c r="B13" s="36"/>
      <c r="C13" s="36"/>
      <c r="D13" s="36"/>
      <c r="E13" s="36"/>
      <c r="F13" s="36"/>
      <c r="G13" s="36"/>
      <c r="H13" s="36"/>
      <c r="I13" s="36"/>
      <c r="J13" s="36"/>
      <c r="K13" s="36"/>
      <c r="L13" s="36"/>
    </row>
    <row r="14" spans="1:12" ht="14.25" customHeight="1" x14ac:dyDescent="0.3">
      <c r="A14" s="36"/>
      <c r="B14" s="36" t="s">
        <v>757</v>
      </c>
      <c r="C14" s="36">
        <v>437.03</v>
      </c>
      <c r="D14" s="36">
        <v>668.8</v>
      </c>
      <c r="E14" s="36">
        <v>818.64</v>
      </c>
      <c r="F14" s="36">
        <v>947.47</v>
      </c>
      <c r="G14" s="36">
        <v>779.99</v>
      </c>
      <c r="H14" s="36">
        <v>677.54</v>
      </c>
      <c r="I14" s="42">
        <v>1167.99</v>
      </c>
      <c r="J14" s="42">
        <v>1752.11</v>
      </c>
      <c r="K14" s="42">
        <v>1471.76</v>
      </c>
      <c r="L14" s="42">
        <v>1670.89</v>
      </c>
    </row>
    <row r="15" spans="1:12" ht="14.25" customHeight="1" x14ac:dyDescent="0.3">
      <c r="A15" s="36"/>
      <c r="B15" s="36" t="s">
        <v>758</v>
      </c>
      <c r="C15" s="36">
        <v>352.62</v>
      </c>
      <c r="D15" s="36">
        <v>495.86</v>
      </c>
      <c r="E15" s="36">
        <v>636.6</v>
      </c>
      <c r="F15" s="36">
        <v>783.1</v>
      </c>
      <c r="G15" s="36">
        <v>637.9</v>
      </c>
      <c r="H15" s="36">
        <v>500.44</v>
      </c>
      <c r="I15" s="36">
        <v>926.59</v>
      </c>
      <c r="J15" s="42">
        <v>1544.97</v>
      </c>
      <c r="K15" s="42">
        <v>1254.07</v>
      </c>
      <c r="L15" s="42">
        <v>1593.29</v>
      </c>
    </row>
    <row r="16" spans="1:12" ht="14.25" customHeight="1" x14ac:dyDescent="0.3">
      <c r="A16" s="36"/>
      <c r="B16" s="36" t="s">
        <v>759</v>
      </c>
      <c r="C16" s="36">
        <v>14.81</v>
      </c>
      <c r="D16" s="36">
        <v>16.91</v>
      </c>
      <c r="E16" s="36">
        <v>17.22</v>
      </c>
      <c r="F16" s="36">
        <v>16.559999999999999</v>
      </c>
      <c r="G16" s="36">
        <v>28.88</v>
      </c>
      <c r="H16" s="36">
        <v>29.09</v>
      </c>
      <c r="I16" s="36">
        <v>31.89</v>
      </c>
      <c r="J16" s="36">
        <v>35.299999999999997</v>
      </c>
      <c r="K16" s="36">
        <v>40.22</v>
      </c>
      <c r="L16" s="36">
        <v>45.36</v>
      </c>
    </row>
    <row r="17" spans="1:12" ht="14.25" customHeight="1" x14ac:dyDescent="0.3">
      <c r="A17" s="36"/>
      <c r="B17" s="36" t="s">
        <v>760</v>
      </c>
      <c r="C17" s="36">
        <v>7.13</v>
      </c>
      <c r="D17" s="36">
        <v>9.43</v>
      </c>
      <c r="E17" s="36">
        <v>8.19</v>
      </c>
      <c r="F17" s="36">
        <v>9.75</v>
      </c>
      <c r="G17" s="36">
        <v>10.08</v>
      </c>
      <c r="H17" s="36">
        <v>10.28</v>
      </c>
      <c r="I17" s="36">
        <v>12.84</v>
      </c>
      <c r="J17" s="36">
        <v>12.16</v>
      </c>
      <c r="K17" s="36">
        <v>14.62</v>
      </c>
      <c r="L17" s="36">
        <v>17.850000000000001</v>
      </c>
    </row>
    <row r="18" spans="1:12" ht="14.25" customHeight="1" x14ac:dyDescent="0.3">
      <c r="A18" s="36"/>
      <c r="B18" s="36" t="s">
        <v>761</v>
      </c>
      <c r="C18" s="36">
        <v>7.2</v>
      </c>
      <c r="D18" s="36">
        <v>50.46</v>
      </c>
      <c r="E18" s="36">
        <v>58.42</v>
      </c>
      <c r="F18" s="36">
        <v>51.02</v>
      </c>
      <c r="G18" s="36">
        <v>49.97</v>
      </c>
      <c r="H18" s="36">
        <v>47.79</v>
      </c>
      <c r="I18" s="36">
        <v>31.5</v>
      </c>
      <c r="J18" s="36">
        <v>31.26</v>
      </c>
      <c r="K18" s="36">
        <v>35.590000000000003</v>
      </c>
      <c r="L18" s="36">
        <v>31.64</v>
      </c>
    </row>
    <row r="19" spans="1:12" ht="14.25" customHeight="1" x14ac:dyDescent="0.3">
      <c r="A19" s="36"/>
      <c r="B19" s="36" t="s">
        <v>762</v>
      </c>
      <c r="C19" s="36">
        <v>29.11</v>
      </c>
      <c r="D19" s="36">
        <v>29.34</v>
      </c>
      <c r="E19" s="36">
        <v>27.29</v>
      </c>
      <c r="F19" s="36">
        <v>17.23</v>
      </c>
      <c r="G19" s="36">
        <v>17.96</v>
      </c>
      <c r="H19" s="36">
        <v>19.989999999999998</v>
      </c>
      <c r="I19" s="36">
        <v>21.21</v>
      </c>
      <c r="J19" s="36">
        <v>21.45</v>
      </c>
      <c r="K19" s="36">
        <v>21.11</v>
      </c>
      <c r="L19" s="36">
        <v>30.98</v>
      </c>
    </row>
    <row r="20" spans="1:12" ht="14.25" customHeight="1" x14ac:dyDescent="0.3">
      <c r="A20" s="36"/>
      <c r="B20" s="36"/>
      <c r="C20" s="36"/>
      <c r="D20" s="36"/>
      <c r="E20" s="36"/>
      <c r="F20" s="36"/>
      <c r="G20" s="36"/>
      <c r="H20" s="36"/>
      <c r="I20" s="36"/>
      <c r="J20" s="36"/>
      <c r="K20" s="36"/>
      <c r="L20" s="36"/>
    </row>
    <row r="21" spans="1:12" ht="14.25" customHeight="1" x14ac:dyDescent="0.3">
      <c r="A21" s="36"/>
      <c r="B21" s="36" t="s">
        <v>763</v>
      </c>
      <c r="C21" s="36"/>
      <c r="D21" s="36"/>
      <c r="E21" s="36"/>
      <c r="F21" s="36"/>
      <c r="G21" s="36"/>
      <c r="H21" s="36"/>
      <c r="I21" s="36"/>
      <c r="J21" s="36"/>
      <c r="K21" s="36"/>
      <c r="L21" s="36"/>
    </row>
    <row r="22" spans="1:12" ht="14.25" customHeight="1" x14ac:dyDescent="0.3">
      <c r="A22" s="36"/>
      <c r="B22" s="36" t="s">
        <v>764</v>
      </c>
      <c r="C22" s="36">
        <v>-10.62</v>
      </c>
      <c r="D22" s="36">
        <v>119.38</v>
      </c>
      <c r="E22" s="36">
        <v>170.64</v>
      </c>
      <c r="F22" s="36">
        <v>136.9</v>
      </c>
      <c r="G22" s="36">
        <v>56.01</v>
      </c>
      <c r="H22" s="36">
        <v>153.91</v>
      </c>
      <c r="I22" s="36">
        <v>385.34</v>
      </c>
      <c r="J22" s="36">
        <v>274.23</v>
      </c>
      <c r="K22" s="36">
        <v>196.46</v>
      </c>
      <c r="L22" s="36">
        <v>231.41</v>
      </c>
    </row>
    <row r="23" spans="1:12" ht="14.25" customHeight="1" x14ac:dyDescent="0.3">
      <c r="A23" s="36"/>
      <c r="B23" s="36" t="s">
        <v>765</v>
      </c>
      <c r="C23" s="36">
        <v>-5.16</v>
      </c>
      <c r="D23" s="36">
        <v>109.63</v>
      </c>
      <c r="E23" s="36">
        <v>163</v>
      </c>
      <c r="F23" s="36">
        <v>131.33000000000001</v>
      </c>
      <c r="G23" s="36">
        <v>50.8</v>
      </c>
      <c r="H23" s="36">
        <v>147.59</v>
      </c>
      <c r="I23" s="36">
        <v>376.41</v>
      </c>
      <c r="J23" s="36">
        <v>259.93</v>
      </c>
      <c r="K23" s="36">
        <v>162.80000000000001</v>
      </c>
      <c r="L23" s="36">
        <v>200.43</v>
      </c>
    </row>
    <row r="24" spans="1:12" ht="14.25" customHeight="1" x14ac:dyDescent="0.3">
      <c r="A24" s="36"/>
      <c r="B24" s="36" t="s">
        <v>766</v>
      </c>
      <c r="C24" s="36">
        <v>-32.07</v>
      </c>
      <c r="D24" s="36">
        <v>24.17</v>
      </c>
      <c r="E24" s="36">
        <v>57.17</v>
      </c>
      <c r="F24" s="36">
        <v>40.11</v>
      </c>
      <c r="G24" s="36">
        <v>-11.75</v>
      </c>
      <c r="H24" s="36">
        <v>57.86</v>
      </c>
      <c r="I24" s="36">
        <v>238.81</v>
      </c>
      <c r="J24" s="36">
        <v>164.98</v>
      </c>
      <c r="K24" s="36">
        <v>99.52</v>
      </c>
      <c r="L24" s="36">
        <v>114.59</v>
      </c>
    </row>
    <row r="25" spans="1:12" ht="14.25" customHeight="1" x14ac:dyDescent="0.3">
      <c r="A25" s="36"/>
      <c r="B25" s="36" t="s">
        <v>767</v>
      </c>
      <c r="C25" s="36">
        <v>-26.61</v>
      </c>
      <c r="D25" s="36">
        <v>23.04</v>
      </c>
      <c r="E25" s="36">
        <v>55.61</v>
      </c>
      <c r="F25" s="36">
        <v>40.01</v>
      </c>
      <c r="G25" s="36">
        <v>-11.95</v>
      </c>
      <c r="H25" s="36">
        <v>54.91</v>
      </c>
      <c r="I25" s="36">
        <v>234.86</v>
      </c>
      <c r="J25" s="36">
        <v>164.98</v>
      </c>
      <c r="K25" s="36">
        <v>106.45</v>
      </c>
      <c r="L25" s="36">
        <v>114.59</v>
      </c>
    </row>
    <row r="26" spans="1:12" ht="14.25" customHeight="1" x14ac:dyDescent="0.3">
      <c r="A26" s="36"/>
      <c r="B26" s="36"/>
      <c r="C26" s="36"/>
      <c r="D26" s="36"/>
      <c r="E26" s="36"/>
      <c r="F26" s="36"/>
      <c r="G26" s="36"/>
      <c r="H26" s="36"/>
      <c r="I26" s="36"/>
      <c r="J26" s="36"/>
      <c r="K26" s="36"/>
      <c r="L26" s="36"/>
    </row>
    <row r="27" spans="1:12" ht="14.25" customHeight="1" x14ac:dyDescent="0.3">
      <c r="A27" s="36"/>
      <c r="B27" s="36" t="s">
        <v>768</v>
      </c>
      <c r="C27" s="36">
        <v>612.02</v>
      </c>
      <c r="D27" s="36">
        <v>952.81</v>
      </c>
      <c r="E27" s="36">
        <v>851.13</v>
      </c>
      <c r="F27" s="36">
        <v>853.27</v>
      </c>
      <c r="G27" s="36">
        <v>823.64</v>
      </c>
      <c r="H27" s="36">
        <v>827.35</v>
      </c>
      <c r="I27" s="42">
        <v>1615.55</v>
      </c>
      <c r="J27" s="42">
        <v>1491.05</v>
      </c>
      <c r="K27" s="42">
        <v>1875.56</v>
      </c>
      <c r="L27" s="42">
        <v>1877.46</v>
      </c>
    </row>
    <row r="28" spans="1:12" ht="14.25" customHeight="1" x14ac:dyDescent="0.3">
      <c r="A28" s="36"/>
      <c r="B28" s="36" t="s">
        <v>769</v>
      </c>
      <c r="C28" s="36">
        <v>59.59</v>
      </c>
      <c r="D28" s="36">
        <v>132.58000000000001</v>
      </c>
      <c r="E28" s="36">
        <v>189.74</v>
      </c>
      <c r="F28" s="36">
        <v>232.11</v>
      </c>
      <c r="G28" s="36">
        <v>222.54</v>
      </c>
      <c r="H28" s="36">
        <v>282.60000000000002</v>
      </c>
      <c r="I28" s="36">
        <v>523.94000000000005</v>
      </c>
      <c r="J28" s="36">
        <v>691.41</v>
      </c>
      <c r="K28" s="36">
        <v>793.45</v>
      </c>
      <c r="L28" s="36">
        <v>688.33</v>
      </c>
    </row>
    <row r="29" spans="1:12" ht="14.25" customHeight="1" x14ac:dyDescent="0.3">
      <c r="A29" s="36"/>
      <c r="B29" s="36" t="s">
        <v>770</v>
      </c>
      <c r="C29" s="36">
        <v>0.05</v>
      </c>
      <c r="D29" s="36">
        <v>32.43</v>
      </c>
      <c r="E29" s="36">
        <v>32.43</v>
      </c>
      <c r="F29" s="36">
        <v>32.43</v>
      </c>
      <c r="G29" s="36">
        <v>32.43</v>
      </c>
      <c r="H29" s="36">
        <v>32.43</v>
      </c>
      <c r="I29" s="36">
        <v>32.43</v>
      </c>
      <c r="J29" s="36">
        <v>32.43</v>
      </c>
      <c r="K29" s="36">
        <v>32.43</v>
      </c>
      <c r="L29" s="36">
        <v>25.58</v>
      </c>
    </row>
    <row r="30" spans="1:12" ht="14.25" customHeight="1" x14ac:dyDescent="0.3">
      <c r="A30" s="36"/>
      <c r="B30" s="36" t="s">
        <v>771</v>
      </c>
      <c r="C30" s="36">
        <v>-6.11</v>
      </c>
      <c r="D30" s="36">
        <v>-9.1199999999999992</v>
      </c>
      <c r="E30" s="36">
        <v>110.03</v>
      </c>
      <c r="F30" s="36">
        <v>150.16</v>
      </c>
      <c r="G30" s="36">
        <v>138.35</v>
      </c>
      <c r="H30" s="36">
        <v>196.19</v>
      </c>
      <c r="I30" s="36">
        <v>434.96</v>
      </c>
      <c r="J30" s="36">
        <v>599.87</v>
      </c>
      <c r="K30" s="36">
        <v>699.34</v>
      </c>
      <c r="L30" s="36">
        <v>662.75</v>
      </c>
    </row>
    <row r="31" spans="1:12" ht="14.25" customHeight="1" x14ac:dyDescent="0.3">
      <c r="A31" s="36"/>
      <c r="B31" s="36" t="s">
        <v>772</v>
      </c>
      <c r="C31" s="36">
        <v>0.35</v>
      </c>
      <c r="D31" s="36">
        <v>488.86</v>
      </c>
      <c r="E31" s="36">
        <v>530.27</v>
      </c>
      <c r="F31" s="36">
        <v>453.27</v>
      </c>
      <c r="G31" s="36">
        <v>435.05</v>
      </c>
      <c r="H31" s="36">
        <v>442.31</v>
      </c>
      <c r="I31" s="36">
        <v>568.07000000000005</v>
      </c>
      <c r="J31" s="36">
        <v>391.94</v>
      </c>
      <c r="K31" s="36">
        <v>373.68</v>
      </c>
      <c r="L31" s="36">
        <v>322.29000000000002</v>
      </c>
    </row>
    <row r="32" spans="1:12" ht="14.25" customHeight="1" x14ac:dyDescent="0.3">
      <c r="A32" s="36"/>
      <c r="B32" s="36" t="s">
        <v>773</v>
      </c>
      <c r="C32" s="36"/>
      <c r="D32" s="36">
        <v>488.17</v>
      </c>
      <c r="E32" s="36">
        <v>495.52</v>
      </c>
      <c r="F32" s="36">
        <v>408.05</v>
      </c>
      <c r="G32" s="36">
        <v>391.51</v>
      </c>
      <c r="H32" s="36">
        <v>387.8</v>
      </c>
      <c r="I32" s="36">
        <v>502.23</v>
      </c>
      <c r="J32" s="36">
        <v>324.02999999999997</v>
      </c>
      <c r="K32" s="36">
        <v>305.25</v>
      </c>
      <c r="L32" s="36">
        <v>127.83</v>
      </c>
    </row>
    <row r="33" spans="1:12" ht="14.25" customHeight="1" x14ac:dyDescent="0.3">
      <c r="A33" s="36"/>
      <c r="B33" s="36" t="s">
        <v>774</v>
      </c>
      <c r="C33" s="36">
        <v>526.08000000000004</v>
      </c>
      <c r="D33" s="36">
        <v>331.37</v>
      </c>
      <c r="E33" s="36">
        <v>69.13</v>
      </c>
      <c r="F33" s="36">
        <v>108.14</v>
      </c>
      <c r="G33" s="36">
        <v>108.54</v>
      </c>
      <c r="H33" s="36">
        <v>47.16</v>
      </c>
      <c r="I33" s="36">
        <v>470.83</v>
      </c>
      <c r="J33" s="36">
        <v>357.55</v>
      </c>
      <c r="K33" s="36">
        <v>660.85</v>
      </c>
      <c r="L33" s="36">
        <v>724.84</v>
      </c>
    </row>
    <row r="34" spans="1:12" ht="14.25" customHeight="1" x14ac:dyDescent="0.3">
      <c r="A34" s="36"/>
      <c r="B34" s="36"/>
      <c r="C34" s="36"/>
      <c r="D34" s="36"/>
      <c r="E34" s="36"/>
      <c r="F34" s="36"/>
      <c r="G34" s="36"/>
      <c r="H34" s="36"/>
      <c r="I34" s="36"/>
      <c r="J34" s="36"/>
      <c r="K34" s="36"/>
      <c r="L34" s="36"/>
    </row>
    <row r="35" spans="1:12" ht="14.25" customHeight="1" x14ac:dyDescent="0.3">
      <c r="A35" s="36"/>
      <c r="B35" s="36" t="s">
        <v>775</v>
      </c>
      <c r="C35" s="36">
        <v>-32.06</v>
      </c>
      <c r="D35" s="36">
        <v>40.93</v>
      </c>
      <c r="E35" s="36">
        <v>80.47</v>
      </c>
      <c r="F35" s="36">
        <v>122.84</v>
      </c>
      <c r="G35" s="36">
        <v>113.27</v>
      </c>
      <c r="H35" s="36">
        <v>173.34</v>
      </c>
      <c r="I35" s="36">
        <v>414.68</v>
      </c>
      <c r="J35" s="36">
        <v>582.15</v>
      </c>
      <c r="K35" s="36">
        <v>684.19</v>
      </c>
      <c r="L35" s="36">
        <v>676.67</v>
      </c>
    </row>
    <row r="36" spans="1:12" ht="14.25" customHeight="1" x14ac:dyDescent="0.3">
      <c r="A36" s="36"/>
      <c r="B36" s="36" t="s">
        <v>776</v>
      </c>
      <c r="C36" s="36">
        <v>-44</v>
      </c>
      <c r="D36" s="36">
        <v>29.05</v>
      </c>
      <c r="E36" s="36">
        <v>68.650000000000006</v>
      </c>
      <c r="F36" s="36">
        <v>111.08</v>
      </c>
      <c r="G36" s="36">
        <v>101.57</v>
      </c>
      <c r="H36" s="36">
        <v>161.66999999999999</v>
      </c>
      <c r="I36" s="36">
        <v>403</v>
      </c>
      <c r="J36" s="36">
        <v>570.49</v>
      </c>
      <c r="K36" s="36">
        <v>672.53</v>
      </c>
      <c r="L36" s="36">
        <v>623.66999999999996</v>
      </c>
    </row>
    <row r="37" spans="1:12" ht="14.25" customHeight="1" x14ac:dyDescent="0.3">
      <c r="A37" s="36"/>
      <c r="B37" s="36"/>
      <c r="C37" s="36"/>
      <c r="D37" s="36"/>
      <c r="E37" s="36"/>
      <c r="F37" s="36"/>
      <c r="G37" s="36"/>
      <c r="H37" s="36"/>
      <c r="I37" s="36"/>
      <c r="J37" s="36"/>
      <c r="K37" s="36"/>
      <c r="L37" s="36"/>
    </row>
    <row r="38" spans="1:12" ht="14.25" customHeight="1" x14ac:dyDescent="0.3">
      <c r="A38" s="36"/>
      <c r="B38" s="36" t="s">
        <v>777</v>
      </c>
      <c r="C38" s="36">
        <v>612.02</v>
      </c>
      <c r="D38" s="36">
        <v>952.81</v>
      </c>
      <c r="E38" s="36">
        <v>851.13</v>
      </c>
      <c r="F38" s="36">
        <v>853.27</v>
      </c>
      <c r="G38" s="36">
        <v>823.64</v>
      </c>
      <c r="H38" s="36">
        <v>827.35</v>
      </c>
      <c r="I38" s="42">
        <v>1615.55</v>
      </c>
      <c r="J38" s="42">
        <v>1491.05</v>
      </c>
      <c r="K38" s="42">
        <v>1875.56</v>
      </c>
      <c r="L38" s="42">
        <v>1877.46</v>
      </c>
    </row>
    <row r="39" spans="1:12" ht="14.25" customHeight="1" x14ac:dyDescent="0.3">
      <c r="A39" s="36"/>
      <c r="B39" s="36" t="s">
        <v>778</v>
      </c>
      <c r="C39" s="36">
        <v>483.38</v>
      </c>
      <c r="D39" s="36">
        <v>565.96</v>
      </c>
      <c r="E39" s="36">
        <v>620.63</v>
      </c>
      <c r="F39" s="36">
        <v>616.20000000000005</v>
      </c>
      <c r="G39" s="36">
        <v>610.54</v>
      </c>
      <c r="H39" s="36">
        <v>599.5</v>
      </c>
      <c r="I39" s="36">
        <v>620.25</v>
      </c>
      <c r="J39" s="42">
        <v>1084.25</v>
      </c>
      <c r="K39" s="42">
        <v>1164.26</v>
      </c>
      <c r="L39" s="42">
        <v>1141.5999999999999</v>
      </c>
    </row>
    <row r="40" spans="1:12" ht="14.25" customHeight="1" x14ac:dyDescent="0.3">
      <c r="A40" s="36"/>
      <c r="B40" s="36" t="s">
        <v>779</v>
      </c>
      <c r="C40" s="36">
        <v>459.69</v>
      </c>
      <c r="D40" s="36">
        <v>433.4</v>
      </c>
      <c r="E40" s="36">
        <v>504.27</v>
      </c>
      <c r="F40" s="36">
        <v>487.08</v>
      </c>
      <c r="G40" s="36">
        <v>500.49</v>
      </c>
      <c r="H40" s="36">
        <v>494.03</v>
      </c>
      <c r="I40" s="36">
        <v>493.2</v>
      </c>
      <c r="J40" s="36">
        <v>473.46</v>
      </c>
      <c r="K40" s="36">
        <v>461.01</v>
      </c>
      <c r="L40" s="36">
        <v>787.43</v>
      </c>
    </row>
    <row r="41" spans="1:12" ht="14.25" customHeight="1" x14ac:dyDescent="0.3">
      <c r="A41" s="36"/>
      <c r="B41" s="36" t="s">
        <v>780</v>
      </c>
      <c r="C41" s="36"/>
      <c r="D41" s="36">
        <v>0.05</v>
      </c>
      <c r="E41" s="36">
        <v>0.06</v>
      </c>
      <c r="F41" s="36">
        <v>0.03</v>
      </c>
      <c r="G41" s="36">
        <v>0.02</v>
      </c>
      <c r="H41" s="36">
        <v>0.05</v>
      </c>
      <c r="I41" s="36">
        <v>0.14000000000000001</v>
      </c>
      <c r="J41" s="36">
        <v>0.25</v>
      </c>
      <c r="K41" s="36">
        <v>0.53</v>
      </c>
      <c r="L41" s="36">
        <v>0.45</v>
      </c>
    </row>
    <row r="42" spans="1:12" ht="14.25" customHeight="1" x14ac:dyDescent="0.3">
      <c r="A42" s="36"/>
      <c r="B42" s="36" t="s">
        <v>781</v>
      </c>
      <c r="C42" s="36">
        <v>128.63999999999999</v>
      </c>
      <c r="D42" s="36">
        <v>386.85</v>
      </c>
      <c r="E42" s="36">
        <v>230.5</v>
      </c>
      <c r="F42" s="36">
        <v>237.07</v>
      </c>
      <c r="G42" s="36">
        <v>213.1</v>
      </c>
      <c r="H42" s="36">
        <v>227.85</v>
      </c>
      <c r="I42" s="36">
        <v>995.3</v>
      </c>
      <c r="J42" s="36">
        <v>406.8</v>
      </c>
      <c r="K42" s="36">
        <v>711.3</v>
      </c>
      <c r="L42" s="36">
        <v>735.86</v>
      </c>
    </row>
    <row r="43" spans="1:12" ht="14.25" customHeight="1" x14ac:dyDescent="0.3">
      <c r="A43" s="36"/>
      <c r="B43" s="36"/>
      <c r="C43" s="36"/>
      <c r="D43" s="36"/>
      <c r="E43" s="36"/>
      <c r="F43" s="36"/>
      <c r="G43" s="36"/>
      <c r="H43" s="36"/>
      <c r="I43" s="36"/>
      <c r="J43" s="36"/>
      <c r="K43" s="36"/>
      <c r="L43" s="36"/>
    </row>
    <row r="44" spans="1:12" ht="14.25" customHeight="1" x14ac:dyDescent="0.3">
      <c r="A44" s="36"/>
      <c r="B44" s="36" t="s">
        <v>782</v>
      </c>
      <c r="C44" s="36"/>
      <c r="D44" s="36"/>
      <c r="E44" s="36"/>
      <c r="F44" s="36"/>
      <c r="G44" s="36"/>
      <c r="H44" s="36"/>
      <c r="I44" s="36"/>
      <c r="J44" s="36"/>
      <c r="K44" s="36"/>
      <c r="L44" s="36"/>
    </row>
    <row r="45" spans="1:12" ht="14.25" customHeight="1" x14ac:dyDescent="0.3">
      <c r="A45" s="36"/>
      <c r="B45" s="36" t="s">
        <v>783</v>
      </c>
      <c r="C45" s="36">
        <v>-1.38</v>
      </c>
      <c r="D45" s="36">
        <v>15.98</v>
      </c>
      <c r="E45" s="36">
        <v>18.170000000000002</v>
      </c>
      <c r="F45" s="36">
        <v>14.01</v>
      </c>
      <c r="G45" s="36">
        <v>6.67</v>
      </c>
      <c r="H45" s="36">
        <v>19.329999999999998</v>
      </c>
      <c r="I45" s="36">
        <v>30.3</v>
      </c>
      <c r="J45" s="36">
        <v>13.04</v>
      </c>
      <c r="K45" s="36">
        <v>10.35</v>
      </c>
      <c r="L45" s="36">
        <v>10.710564144218299</v>
      </c>
    </row>
    <row r="46" spans="1:12" ht="14.25" customHeight="1" x14ac:dyDescent="0.3">
      <c r="A46" s="36"/>
      <c r="B46" s="36" t="s">
        <v>784</v>
      </c>
      <c r="C46" s="36">
        <v>-7.1</v>
      </c>
      <c r="D46" s="36">
        <v>3.32</v>
      </c>
      <c r="E46" s="36">
        <v>6.16</v>
      </c>
      <c r="F46" s="36">
        <v>4.24</v>
      </c>
      <c r="G46" s="36">
        <v>-1.56</v>
      </c>
      <c r="H46" s="36">
        <v>7.16</v>
      </c>
      <c r="I46" s="36">
        <v>18.829999999999998</v>
      </c>
      <c r="J46" s="36">
        <v>8.2200000000000006</v>
      </c>
      <c r="K46" s="36">
        <v>6.6</v>
      </c>
      <c r="L46" s="36">
        <v>6.12345230397632</v>
      </c>
    </row>
    <row r="47" spans="1:12" ht="14.25" customHeight="1" x14ac:dyDescent="0.3">
      <c r="A47" s="36"/>
      <c r="B47" s="36" t="s">
        <v>785</v>
      </c>
      <c r="C47" s="36"/>
      <c r="D47" s="36">
        <v>519.5</v>
      </c>
      <c r="E47" s="36">
        <v>91.61</v>
      </c>
      <c r="F47" s="36">
        <v>39.36</v>
      </c>
      <c r="G47" s="36">
        <v>-10.119999999999999</v>
      </c>
      <c r="H47" s="36">
        <v>38.32</v>
      </c>
      <c r="I47" s="36">
        <v>79.88</v>
      </c>
      <c r="J47" s="36">
        <v>33.1</v>
      </c>
      <c r="K47" s="36">
        <v>16.809999999999999</v>
      </c>
      <c r="L47" s="36">
        <v>16.1383001197099</v>
      </c>
    </row>
    <row r="48" spans="1:12" ht="14.25" customHeight="1" x14ac:dyDescent="0.3">
      <c r="A48" s="36"/>
      <c r="B48" s="36" t="s">
        <v>786</v>
      </c>
      <c r="C48" s="36">
        <v>-9.08</v>
      </c>
      <c r="D48" s="36">
        <v>2.99</v>
      </c>
      <c r="E48" s="36">
        <v>6.38</v>
      </c>
      <c r="F48" s="36">
        <v>5.0599999999999996</v>
      </c>
      <c r="G48" s="36">
        <v>-1.53</v>
      </c>
      <c r="H48" s="36">
        <v>7.14</v>
      </c>
      <c r="I48" s="36">
        <v>20.12</v>
      </c>
      <c r="J48" s="36">
        <v>10.98</v>
      </c>
      <c r="K48" s="36">
        <v>6.51</v>
      </c>
      <c r="L48" s="36">
        <v>6.1065488593186297</v>
      </c>
    </row>
    <row r="49" spans="1:12" ht="14.25" customHeight="1" x14ac:dyDescent="0.3">
      <c r="A49" s="36"/>
      <c r="B49" s="36" t="s">
        <v>787</v>
      </c>
      <c r="C49" s="36">
        <v>-83.64</v>
      </c>
      <c r="D49" s="36">
        <v>6.01</v>
      </c>
      <c r="E49" s="36">
        <v>8.01</v>
      </c>
      <c r="F49" s="36">
        <v>6.04</v>
      </c>
      <c r="G49" s="36">
        <v>-1.91</v>
      </c>
      <c r="H49" s="36">
        <v>8.5500000000000007</v>
      </c>
      <c r="I49" s="36">
        <v>27.62</v>
      </c>
      <c r="J49" s="36">
        <v>15.84</v>
      </c>
      <c r="K49" s="36">
        <v>9.81</v>
      </c>
      <c r="L49" s="36">
        <v>20.305636797289001</v>
      </c>
    </row>
    <row r="50" spans="1:12" ht="14.25" customHeight="1" x14ac:dyDescent="0.3">
      <c r="A50" s="36"/>
      <c r="B50" s="36"/>
      <c r="C50" s="36"/>
      <c r="D50" s="36"/>
      <c r="E50" s="36"/>
      <c r="F50" s="36"/>
      <c r="G50" s="36"/>
      <c r="H50" s="36"/>
      <c r="I50" s="36"/>
      <c r="J50" s="36"/>
      <c r="K50" s="36"/>
      <c r="L50" s="36"/>
    </row>
    <row r="51" spans="1:12" ht="14.25" customHeight="1" x14ac:dyDescent="0.3">
      <c r="A51" s="36"/>
      <c r="B51" s="36" t="s">
        <v>788</v>
      </c>
      <c r="C51" s="36"/>
      <c r="D51" s="36"/>
      <c r="E51" s="36"/>
      <c r="F51" s="36"/>
      <c r="G51" s="36"/>
      <c r="H51" s="36"/>
      <c r="I51" s="36"/>
      <c r="J51" s="36"/>
      <c r="K51" s="36"/>
      <c r="L51" s="36"/>
    </row>
    <row r="52" spans="1:12" ht="14.25" customHeight="1" x14ac:dyDescent="0.3">
      <c r="A52" s="36"/>
      <c r="B52" s="36" t="s">
        <v>789</v>
      </c>
      <c r="C52" s="36">
        <v>0.23400000000000001</v>
      </c>
      <c r="D52" s="36">
        <v>1.115</v>
      </c>
      <c r="E52" s="36">
        <v>2.5379999999999998</v>
      </c>
      <c r="F52" s="36">
        <v>1.887</v>
      </c>
      <c r="G52" s="36">
        <v>1.706</v>
      </c>
      <c r="H52" s="36">
        <v>4.4950000000000001</v>
      </c>
      <c r="I52" s="36">
        <v>2.0680000000000001</v>
      </c>
      <c r="J52" s="36">
        <v>1.038</v>
      </c>
      <c r="K52" s="36">
        <v>0.999</v>
      </c>
      <c r="L52" s="36">
        <v>1.01520335522322</v>
      </c>
    </row>
    <row r="53" spans="1:12" ht="14.25" customHeight="1" x14ac:dyDescent="0.3">
      <c r="A53" s="36"/>
      <c r="B53" s="36" t="s">
        <v>790</v>
      </c>
      <c r="C53" s="36"/>
      <c r="D53" s="36">
        <v>16.164000000000001</v>
      </c>
      <c r="E53" s="36">
        <v>7.516</v>
      </c>
      <c r="F53" s="36">
        <v>4.2110000000000003</v>
      </c>
      <c r="G53" s="36">
        <v>4.4210000000000003</v>
      </c>
      <c r="H53" s="36">
        <v>2.8679999999999999</v>
      </c>
      <c r="I53" s="36">
        <v>1.4850000000000001</v>
      </c>
      <c r="J53" s="36">
        <v>0.80800000000000005</v>
      </c>
      <c r="K53" s="36">
        <v>0.63400000000000001</v>
      </c>
      <c r="L53" s="36">
        <v>0.41414728400621797</v>
      </c>
    </row>
    <row r="54" spans="1:12" ht="14.25" customHeight="1" x14ac:dyDescent="0.3">
      <c r="A54" s="36"/>
      <c r="B54" s="36" t="s">
        <v>791</v>
      </c>
      <c r="C54" s="36"/>
      <c r="D54" s="36">
        <v>1.7110000000000001</v>
      </c>
      <c r="E54" s="36">
        <v>2.3650000000000002</v>
      </c>
      <c r="F54" s="36">
        <v>2.1669999999999998</v>
      </c>
      <c r="G54" s="36">
        <v>0.73099999999999998</v>
      </c>
      <c r="H54" s="36">
        <v>2.57</v>
      </c>
      <c r="I54" s="36">
        <v>10.317</v>
      </c>
      <c r="J54" s="36">
        <v>7.6139999999999999</v>
      </c>
      <c r="K54" s="36">
        <v>4.5730000000000004</v>
      </c>
      <c r="L54" s="36">
        <v>5.6147418680990802</v>
      </c>
    </row>
    <row r="55" spans="1:12" ht="14.25" customHeight="1" x14ac:dyDescent="0.3">
      <c r="A55" s="36"/>
      <c r="B55" s="36"/>
      <c r="C55" s="36"/>
      <c r="D55" s="36"/>
      <c r="E55" s="36"/>
      <c r="F55" s="36"/>
      <c r="G55" s="36"/>
      <c r="H55" s="36"/>
      <c r="I55" s="36"/>
      <c r="J55" s="36"/>
      <c r="K55" s="36"/>
      <c r="L55" s="36"/>
    </row>
    <row r="56" spans="1:12" ht="14.25" customHeight="1" x14ac:dyDescent="0.3">
      <c r="A56" s="36"/>
      <c r="B56" s="36" t="s">
        <v>792</v>
      </c>
      <c r="C56" s="36">
        <v>359.1</v>
      </c>
      <c r="D56" s="36">
        <v>17.579999999999998</v>
      </c>
      <c r="E56" s="36">
        <v>10.97</v>
      </c>
      <c r="F56" s="36">
        <v>11.29</v>
      </c>
      <c r="G56" s="36">
        <v>12.5</v>
      </c>
      <c r="H56" s="36">
        <v>12.26</v>
      </c>
      <c r="I56" s="36">
        <v>7.04</v>
      </c>
      <c r="J56" s="36">
        <v>7.21</v>
      </c>
      <c r="K56" s="36">
        <v>10.38</v>
      </c>
      <c r="L56" s="36">
        <v>11.353164385418101</v>
      </c>
    </row>
    <row r="57" spans="1:12" ht="14.25" customHeight="1" x14ac:dyDescent="0.3">
      <c r="A57" s="36"/>
      <c r="B57" s="36"/>
      <c r="C57" s="36"/>
      <c r="D57" s="36"/>
      <c r="E57" s="36"/>
      <c r="F57" s="36"/>
      <c r="G57" s="36"/>
      <c r="H57" s="36"/>
      <c r="I57" s="36"/>
      <c r="J57" s="36"/>
      <c r="K57" s="36"/>
      <c r="L57" s="36"/>
    </row>
    <row r="58" spans="1:12" ht="14.25" customHeight="1" x14ac:dyDescent="0.3">
      <c r="A58" s="36"/>
      <c r="B58" s="36" t="s">
        <v>793</v>
      </c>
      <c r="C58" s="36"/>
      <c r="D58" s="36"/>
      <c r="E58" s="36"/>
      <c r="F58" s="36"/>
      <c r="G58" s="36"/>
      <c r="H58" s="36"/>
      <c r="I58" s="36"/>
      <c r="J58" s="36"/>
      <c r="K58" s="36"/>
      <c r="L58" s="36"/>
    </row>
    <row r="59" spans="1:12" ht="14.25" customHeight="1" x14ac:dyDescent="0.3">
      <c r="A59" s="36"/>
      <c r="B59" s="36" t="s">
        <v>794</v>
      </c>
      <c r="C59" s="36">
        <v>1.28</v>
      </c>
      <c r="D59" s="36">
        <v>0.90400000000000003</v>
      </c>
      <c r="E59" s="36">
        <v>1.0389999999999999</v>
      </c>
      <c r="F59" s="36">
        <v>1.1910000000000001</v>
      </c>
      <c r="G59" s="36">
        <v>0.98499999999999999</v>
      </c>
      <c r="H59" s="36">
        <v>1.0009999999999999</v>
      </c>
      <c r="I59" s="36">
        <v>1.0720000000000001</v>
      </c>
      <c r="J59" s="36">
        <v>1.337</v>
      </c>
      <c r="K59" s="36">
        <v>0.98699999999999999</v>
      </c>
      <c r="L59" s="36">
        <v>1.0066952158767699</v>
      </c>
    </row>
    <row r="60" spans="1:12" ht="14.25" customHeight="1" x14ac:dyDescent="0.3">
      <c r="A60" s="36"/>
      <c r="B60" s="36" t="s">
        <v>795</v>
      </c>
      <c r="C60" s="36">
        <v>1.631</v>
      </c>
      <c r="D60" s="36">
        <v>1.536</v>
      </c>
      <c r="E60" s="36">
        <v>2.048</v>
      </c>
      <c r="F60" s="36">
        <v>2.1549999999999998</v>
      </c>
      <c r="G60" s="36">
        <v>1.7509999999999999</v>
      </c>
      <c r="H60" s="36">
        <v>1.732</v>
      </c>
      <c r="I60" s="36">
        <v>2.8260000000000001</v>
      </c>
      <c r="J60" s="36">
        <v>4.6150000000000002</v>
      </c>
      <c r="K60" s="36">
        <v>3.76</v>
      </c>
      <c r="L60" s="36">
        <v>2.4122226948708998</v>
      </c>
    </row>
    <row r="61" spans="1:12" ht="14.25" customHeight="1" x14ac:dyDescent="0.3">
      <c r="A61" s="36"/>
      <c r="B61" s="36" t="s">
        <v>796</v>
      </c>
      <c r="C61" s="36">
        <v>52.588999999999999</v>
      </c>
      <c r="D61" s="36">
        <v>73.656000000000006</v>
      </c>
      <c r="E61" s="36">
        <v>110.255</v>
      </c>
      <c r="F61" s="36">
        <v>96.683999999999997</v>
      </c>
      <c r="G61" s="36">
        <v>76.069000000000003</v>
      </c>
      <c r="H61" s="36">
        <v>74.593999999999994</v>
      </c>
      <c r="I61" s="36">
        <v>97.13</v>
      </c>
      <c r="J61" s="36">
        <v>165.1</v>
      </c>
      <c r="K61" s="36">
        <v>110.363</v>
      </c>
      <c r="L61" s="36">
        <v>105.884033613445</v>
      </c>
    </row>
    <row r="62" spans="1:12" ht="14.25" customHeight="1" x14ac:dyDescent="0.3">
      <c r="A62" s="36"/>
      <c r="B62" s="36"/>
      <c r="C62" s="36"/>
      <c r="D62" s="36"/>
      <c r="E62" s="36"/>
      <c r="F62" s="36"/>
      <c r="G62" s="36"/>
      <c r="H62" s="36"/>
      <c r="I62" s="36"/>
      <c r="J62" s="36"/>
      <c r="K62" s="36"/>
      <c r="L62" s="36"/>
    </row>
    <row r="63" spans="1:12" ht="17.25" customHeight="1" x14ac:dyDescent="0.3">
      <c r="A63" s="915" t="s">
        <v>797</v>
      </c>
      <c r="B63" s="915"/>
      <c r="C63" s="915"/>
      <c r="D63" s="915"/>
      <c r="E63" s="915"/>
      <c r="F63" s="915"/>
      <c r="G63" s="36"/>
      <c r="H63" s="36"/>
      <c r="I63" s="36"/>
      <c r="J63" s="36"/>
      <c r="K63" s="36"/>
      <c r="L63" s="36"/>
    </row>
    <row r="64" spans="1:12" ht="14.25" customHeight="1" x14ac:dyDescent="0.3">
      <c r="A64" s="916" t="s">
        <v>798</v>
      </c>
      <c r="B64" s="916"/>
      <c r="C64" s="916"/>
      <c r="D64" s="916"/>
      <c r="E64" s="916"/>
      <c r="F64" s="916"/>
      <c r="G64" s="36"/>
      <c r="H64" s="36"/>
      <c r="I64" s="36"/>
      <c r="J64" s="36"/>
      <c r="K64" s="36"/>
      <c r="L64" s="36"/>
    </row>
    <row r="65" spans="1:12" ht="14.25" customHeight="1" x14ac:dyDescent="0.3">
      <c r="A65" s="281"/>
      <c r="B65" s="281"/>
      <c r="C65" s="281"/>
      <c r="D65" s="281"/>
      <c r="E65" s="281"/>
      <c r="F65" s="281"/>
      <c r="G65" s="36"/>
      <c r="H65" s="36"/>
      <c r="I65" s="36"/>
      <c r="J65" s="36"/>
      <c r="K65" s="36"/>
      <c r="L65" s="36"/>
    </row>
    <row r="66" spans="1:12" ht="14.25" customHeight="1" x14ac:dyDescent="0.3">
      <c r="A66" s="634"/>
      <c r="B66" s="635" t="s">
        <v>145</v>
      </c>
      <c r="C66" s="635" t="s">
        <v>146</v>
      </c>
      <c r="D66" s="635" t="s">
        <v>147</v>
      </c>
      <c r="E66" s="635" t="s">
        <v>148</v>
      </c>
      <c r="F66" s="635" t="s">
        <v>149</v>
      </c>
      <c r="G66" s="36"/>
      <c r="H66" s="36"/>
      <c r="I66" s="36"/>
      <c r="J66" s="36"/>
      <c r="K66" s="36"/>
      <c r="L66" s="36"/>
    </row>
    <row r="67" spans="1:12" ht="14.25" customHeight="1" x14ac:dyDescent="0.3">
      <c r="A67" s="281"/>
      <c r="B67" s="31"/>
      <c r="C67" s="31"/>
      <c r="D67" s="31"/>
      <c r="E67" s="31"/>
      <c r="F67" s="31"/>
      <c r="G67" s="36"/>
      <c r="H67" s="36"/>
      <c r="I67" s="36"/>
      <c r="J67" s="36"/>
      <c r="K67" s="36"/>
      <c r="L67" s="36"/>
    </row>
    <row r="68" spans="1:12" ht="25.5" customHeight="1" x14ac:dyDescent="0.3">
      <c r="A68" s="107" t="s">
        <v>799</v>
      </c>
      <c r="B68" s="108"/>
      <c r="C68" s="108"/>
      <c r="D68" s="108"/>
      <c r="E68" s="108"/>
      <c r="F68" s="108"/>
      <c r="G68" s="36"/>
      <c r="H68" s="36"/>
      <c r="I68" s="36"/>
      <c r="J68" s="36"/>
      <c r="K68" s="36"/>
      <c r="L68" s="36"/>
    </row>
    <row r="69" spans="1:12" ht="105" customHeight="1" x14ac:dyDescent="0.3">
      <c r="A69" s="636" t="s">
        <v>215</v>
      </c>
      <c r="B69" s="454">
        <f>'The 3-Statement Projection'!C6</f>
        <v>1871.3300000000002</v>
      </c>
      <c r="C69" s="454">
        <f>'The 3-Statement Projection'!D6</f>
        <v>2081.1111165727916</v>
      </c>
      <c r="D69" s="454">
        <f>'The 3-Statement Projection'!E6</f>
        <v>2195.6110965727921</v>
      </c>
      <c r="E69" s="454">
        <f>'The 3-Statement Projection'!F6</f>
        <v>2195.6110965727921</v>
      </c>
      <c r="F69" s="454">
        <f>'The 3-Statement Projection'!G6</f>
        <v>2195.6110965727921</v>
      </c>
      <c r="G69" s="36"/>
      <c r="H69" s="36"/>
      <c r="I69" s="36"/>
      <c r="J69" s="36"/>
      <c r="K69" s="36"/>
      <c r="L69" s="36"/>
    </row>
    <row r="70" spans="1:12" ht="171" customHeight="1" x14ac:dyDescent="0.3">
      <c r="A70" s="152" t="s">
        <v>800</v>
      </c>
      <c r="B70" s="637">
        <f>'The 3-Statement Projection'!C7</f>
        <v>0.18980798575788399</v>
      </c>
      <c r="C70" s="637">
        <f>'The 3-Statement Projection'!D7</f>
        <v>0.11210268449327027</v>
      </c>
      <c r="D70" s="637">
        <f>'The 3-Statement Projection'!E7</f>
        <v>5.5018676844396937E-2</v>
      </c>
      <c r="E70" s="637">
        <f>'The 3-Statement Projection'!F7</f>
        <v>0</v>
      </c>
      <c r="F70" s="637">
        <f>'The 3-Statement Projection'!G7</f>
        <v>0</v>
      </c>
      <c r="G70" s="36"/>
      <c r="H70" s="36"/>
      <c r="I70" s="36"/>
      <c r="J70" s="36"/>
      <c r="K70" s="36"/>
      <c r="L70" s="36"/>
    </row>
    <row r="71" spans="1:12" ht="78.75" customHeight="1" x14ac:dyDescent="0.3">
      <c r="A71" s="636" t="s">
        <v>236</v>
      </c>
      <c r="B71" s="454">
        <f>'The 3-Statement Projection'!C15</f>
        <v>200.44000000000011</v>
      </c>
      <c r="C71" s="454">
        <f>'The 3-Statement Projection'!D15</f>
        <v>379.74544533633707</v>
      </c>
      <c r="D71" s="454">
        <f>'The 3-Statement Projection'!E15</f>
        <v>360.23107013888119</v>
      </c>
      <c r="E71" s="454">
        <f>'The 3-Statement Projection'!F15</f>
        <v>364.62229233202669</v>
      </c>
      <c r="F71" s="454">
        <f>'The 3-Statement Projection'!G15</f>
        <v>369.01351452517241</v>
      </c>
      <c r="G71" s="36"/>
      <c r="H71" s="36"/>
      <c r="I71" s="36"/>
      <c r="J71" s="36"/>
      <c r="K71" s="36"/>
      <c r="L71" s="36"/>
    </row>
    <row r="72" spans="1:12" ht="182.25" customHeight="1" x14ac:dyDescent="0.3">
      <c r="A72" s="152" t="s">
        <v>801</v>
      </c>
      <c r="B72" s="637">
        <f>'The 3-Statement Projection'!C16</f>
        <v>0.10711098523510022</v>
      </c>
      <c r="C72" s="637">
        <f>'The 3-Statement Projection'!D16</f>
        <v>0.18247245056367206</v>
      </c>
      <c r="D72" s="637">
        <f>'The 3-Statement Projection'!E16</f>
        <v>0.16406870538283339</v>
      </c>
      <c r="E72" s="637">
        <f>'The 3-Statement Projection'!F16</f>
        <v>0.16606870538283336</v>
      </c>
      <c r="F72" s="637">
        <f>'The 3-Statement Projection'!G16</f>
        <v>0.16806870538283342</v>
      </c>
      <c r="G72" s="36"/>
      <c r="H72" s="36"/>
      <c r="I72" s="36"/>
      <c r="J72" s="36"/>
      <c r="K72" s="36"/>
      <c r="L72" s="36"/>
    </row>
    <row r="73" spans="1:12" ht="52.5" customHeight="1" x14ac:dyDescent="0.3">
      <c r="A73" s="638" t="s">
        <v>243</v>
      </c>
      <c r="B73" s="454">
        <f>'The 3-Statement Projection'!C19</f>
        <v>169.46000000000012</v>
      </c>
      <c r="C73" s="454">
        <f>'The 3-Statement Projection'!D19</f>
        <v>334.02998751133708</v>
      </c>
      <c r="D73" s="454">
        <f>'The 3-Statement Projection'!E19</f>
        <v>313.29084204325619</v>
      </c>
      <c r="E73" s="454">
        <f>'The 3-Statement Projection'!F19</f>
        <v>316.42667470901108</v>
      </c>
      <c r="F73" s="454">
        <f>'The 3-Statement Projection'!G19</f>
        <v>319.53112263658142</v>
      </c>
      <c r="G73" s="36"/>
      <c r="H73" s="36"/>
      <c r="I73" s="36"/>
      <c r="J73" s="36"/>
      <c r="K73" s="36"/>
      <c r="L73" s="36"/>
    </row>
    <row r="74" spans="1:12" ht="198" customHeight="1" x14ac:dyDescent="0.3">
      <c r="A74" s="638" t="s">
        <v>802</v>
      </c>
      <c r="B74" s="454">
        <f>'The 3-Statement Projection'!C21</f>
        <v>33.51</v>
      </c>
      <c r="C74" s="454">
        <f ca="1">'The 3-Statement Projection'!D21</f>
        <v>59.353149999999999</v>
      </c>
      <c r="D74" s="454">
        <f ca="1">'The 3-Statement Projection'!E21</f>
        <v>46.324683815052147</v>
      </c>
      <c r="E74" s="454">
        <f ca="1">'The 3-Statement Projection'!F21</f>
        <v>35.335499999999996</v>
      </c>
      <c r="F74" s="454">
        <f ca="1">'The 3-Statement Projection'!G21</f>
        <v>31.123499999999996</v>
      </c>
      <c r="G74" s="36"/>
      <c r="H74" s="36"/>
      <c r="I74" s="36"/>
      <c r="J74" s="36"/>
      <c r="K74" s="36"/>
      <c r="L74" s="36"/>
    </row>
    <row r="75" spans="1:12" ht="198" customHeight="1" x14ac:dyDescent="0.3">
      <c r="A75" s="636" t="s">
        <v>257</v>
      </c>
      <c r="B75" s="454">
        <f>'The 3-Statement Projection'!C23</f>
        <v>154.65000000000012</v>
      </c>
      <c r="C75" s="454">
        <f ca="1">'The 3-Statement Projection'!D23</f>
        <v>301.75683751133704</v>
      </c>
      <c r="D75" s="454">
        <f ca="1">'The 3-Statement Projection'!E23</f>
        <v>266.96615822820405</v>
      </c>
      <c r="E75" s="454">
        <f ca="1">'The 3-Statement Projection'!F23</f>
        <v>281.09117470901106</v>
      </c>
      <c r="F75" s="454">
        <f ca="1">'The 3-Statement Projection'!G23</f>
        <v>288.40762263658144</v>
      </c>
      <c r="G75" s="36"/>
      <c r="H75" s="36"/>
      <c r="I75" s="36"/>
      <c r="J75" s="36"/>
      <c r="K75" s="36"/>
      <c r="L75" s="36"/>
    </row>
    <row r="76" spans="1:12" ht="250.5" customHeight="1" x14ac:dyDescent="0.3">
      <c r="A76" s="639" t="s">
        <v>319</v>
      </c>
      <c r="B76" s="640">
        <f>'The 3-Statement Projection'!C27</f>
        <v>114.60000000000012</v>
      </c>
      <c r="C76" s="640">
        <f ca="1">'The 3-Statement Projection'!D27</f>
        <v>225.81067664648373</v>
      </c>
      <c r="D76" s="640">
        <f ca="1">'The 3-Statement Projection'!E27</f>
        <v>199.77611552532966</v>
      </c>
      <c r="E76" s="640">
        <f ca="1">'The 3-Statement Projection'!F27</f>
        <v>210.34614785824715</v>
      </c>
      <c r="F76" s="640">
        <f ca="1">'The 3-Statement Projection'!G27</f>
        <v>215.82119217140661</v>
      </c>
      <c r="G76" s="36"/>
      <c r="H76" s="36"/>
      <c r="I76" s="36"/>
      <c r="J76" s="36"/>
      <c r="K76" s="36"/>
      <c r="L76" s="36"/>
    </row>
    <row r="77" spans="1:12" ht="147.75" customHeight="1" x14ac:dyDescent="0.3">
      <c r="A77" s="152" t="s">
        <v>803</v>
      </c>
      <c r="B77" s="637">
        <f>'The 3-Statement Projection'!C28</f>
        <v>6.123986683268056E-2</v>
      </c>
      <c r="C77" s="637">
        <f ca="1">'The 3-Statement Projection'!D28</f>
        <v>0.10850486302641663</v>
      </c>
      <c r="D77" s="637">
        <f ca="1">'The 3-Statement Projection'!E28</f>
        <v>9.098884398843099E-2</v>
      </c>
      <c r="E77" s="637">
        <f ca="1">'The 3-Statement Projection'!F28</f>
        <v>9.5803008186005248E-2</v>
      </c>
      <c r="F77" s="637">
        <f ca="1">'The 3-Statement Projection'!G28</f>
        <v>9.8296639376750108E-2</v>
      </c>
      <c r="G77" s="36"/>
      <c r="H77" s="36"/>
      <c r="I77" s="36"/>
      <c r="J77" s="36"/>
      <c r="K77" s="36"/>
      <c r="L77" s="36"/>
    </row>
    <row r="78" spans="1:12" ht="14.25" customHeight="1" x14ac:dyDescent="0.3">
      <c r="A78" s="638"/>
      <c r="B78" s="31"/>
      <c r="C78" s="31"/>
      <c r="D78" s="31"/>
      <c r="E78" s="31"/>
      <c r="F78" s="31"/>
      <c r="G78" s="36"/>
      <c r="H78" s="36"/>
      <c r="I78" s="36"/>
      <c r="J78" s="36"/>
      <c r="K78" s="36"/>
      <c r="L78" s="36"/>
    </row>
    <row r="79" spans="1:12" ht="25.5" customHeight="1" x14ac:dyDescent="0.3">
      <c r="A79" s="107" t="s">
        <v>804</v>
      </c>
      <c r="B79" s="108"/>
      <c r="C79" s="108"/>
      <c r="D79" s="108"/>
      <c r="E79" s="108"/>
      <c r="F79" s="108"/>
      <c r="G79" s="36"/>
      <c r="H79" s="36"/>
      <c r="I79" s="36"/>
      <c r="J79" s="36"/>
      <c r="K79" s="36"/>
      <c r="L79" s="36"/>
    </row>
    <row r="80" spans="1:12" ht="144.75" customHeight="1" x14ac:dyDescent="0.3">
      <c r="A80" s="636" t="s">
        <v>273</v>
      </c>
      <c r="B80" s="454">
        <f>'The 3-Statement Projection'!C36</f>
        <v>797.6</v>
      </c>
      <c r="C80" s="454">
        <f ca="1">'The 3-Statement Projection'!D36</f>
        <v>764.78747365253855</v>
      </c>
      <c r="D80" s="454">
        <f ca="1">'The 3-Statement Projection'!E36</f>
        <v>893.70075452026936</v>
      </c>
      <c r="E80" s="454">
        <f ca="1">'The 3-Statement Projection'!F36</f>
        <v>1030.0130580210423</v>
      </c>
      <c r="F80" s="454">
        <f ca="1">'The 3-Statement Projection'!G36</f>
        <v>1170.157892541027</v>
      </c>
      <c r="G80" s="36"/>
      <c r="H80" s="36"/>
      <c r="I80" s="36"/>
      <c r="J80" s="36"/>
      <c r="K80" s="36"/>
      <c r="L80" s="36"/>
    </row>
    <row r="81" spans="1:12" ht="158.25" customHeight="1" x14ac:dyDescent="0.3">
      <c r="A81" s="638" t="s">
        <v>805</v>
      </c>
      <c r="B81" s="454">
        <f>'The 3-Statement Projection'!C39</f>
        <v>436.82</v>
      </c>
      <c r="C81" s="454">
        <f>'The 3-Statement Projection'!D39</f>
        <v>431.29999999999995</v>
      </c>
      <c r="D81" s="454">
        <f>'The 3-Statement Projection'!E39</f>
        <v>396.9</v>
      </c>
      <c r="E81" s="454">
        <f>'The 3-Statement Projection'!F39</f>
        <v>351.79999999999995</v>
      </c>
      <c r="F81" s="454">
        <f>'The 3-Statement Projection'!G39</f>
        <v>306.49999999999994</v>
      </c>
      <c r="G81" s="36"/>
      <c r="H81" s="36"/>
      <c r="I81" s="36"/>
      <c r="J81" s="36"/>
      <c r="K81" s="36"/>
      <c r="L81" s="36"/>
    </row>
    <row r="82" spans="1:12" ht="184.5" customHeight="1" x14ac:dyDescent="0.3">
      <c r="A82" s="638" t="s">
        <v>294</v>
      </c>
      <c r="B82" s="454">
        <f>'The 3-Statement Projection'!C57</f>
        <v>787.43</v>
      </c>
      <c r="C82" s="454">
        <f>'The 3-Statement Projection'!D57</f>
        <v>943.21457342499991</v>
      </c>
      <c r="D82" s="454">
        <f>'The 3-Statement Projection'!E57</f>
        <v>919.75712736062496</v>
      </c>
      <c r="E82" s="454">
        <f>'The 3-Statement Projection'!F57</f>
        <v>895.63136131964052</v>
      </c>
      <c r="F82" s="454">
        <f>'The 3-Statement Projection'!G57</f>
        <v>870.8205673026315</v>
      </c>
      <c r="G82" s="36"/>
      <c r="H82" s="36"/>
      <c r="I82" s="36"/>
      <c r="J82" s="36"/>
      <c r="K82" s="36"/>
      <c r="L82" s="36"/>
    </row>
    <row r="83" spans="1:12" ht="210.75" customHeight="1" x14ac:dyDescent="0.3">
      <c r="A83" s="638" t="s">
        <v>172</v>
      </c>
      <c r="B83" s="454">
        <f>'The 3-Statement Projection'!C67</f>
        <v>210.18</v>
      </c>
      <c r="C83" s="454">
        <f ca="1">'The 3-Statement Projection'!D67</f>
        <v>32.122825181633118</v>
      </c>
      <c r="D83" s="454">
        <f ca="1">'The 3-Statement Projection'!E67</f>
        <v>20</v>
      </c>
      <c r="E83" s="454">
        <f ca="1">'The 3-Statement Projection'!F67</f>
        <v>298.26035540516528</v>
      </c>
      <c r="F83" s="454">
        <f ca="1">'The 3-Statement Projection'!G67</f>
        <v>447.28283810950688</v>
      </c>
      <c r="G83" s="36"/>
      <c r="H83" s="36"/>
      <c r="I83" s="36"/>
      <c r="J83" s="36"/>
      <c r="K83" s="36"/>
      <c r="L83" s="36"/>
    </row>
    <row r="84" spans="1:12" ht="144.75" customHeight="1" x14ac:dyDescent="0.3">
      <c r="A84" s="639" t="s">
        <v>311</v>
      </c>
      <c r="B84" s="640">
        <f>'The 3-Statement Projection'!C72</f>
        <v>1877.4699999999998</v>
      </c>
      <c r="C84" s="640">
        <f ca="1">'The 3-Statement Projection'!D72</f>
        <v>1720.7696522873252</v>
      </c>
      <c r="D84" s="640">
        <f ca="1">'The 3-Statement Projection'!E72</f>
        <v>1670.5027731252403</v>
      </c>
      <c r="E84" s="640">
        <f ca="1">'The 3-Statement Projection'!F72</f>
        <v>1738.3932392770303</v>
      </c>
      <c r="F84" s="640">
        <f ca="1">'The 3-Statement Projection'!G72</f>
        <v>1831.1083252676544</v>
      </c>
      <c r="G84" s="36"/>
      <c r="H84" s="36"/>
      <c r="I84" s="36"/>
      <c r="J84" s="36"/>
      <c r="K84" s="36"/>
      <c r="L84" s="36"/>
    </row>
    <row r="85" spans="1:12" ht="158.25" customHeight="1" x14ac:dyDescent="0.3">
      <c r="A85" s="636" t="s">
        <v>806</v>
      </c>
      <c r="B85" s="641" t="str">
        <f>'The 3-Statement Projection'!C106</f>
        <v>✓ Balanced</v>
      </c>
      <c r="C85" s="641" t="str">
        <f ca="1">'The 3-Statement Projection'!D106</f>
        <v>✓ Balanced</v>
      </c>
      <c r="D85" s="641" t="str">
        <f ca="1">'The 3-Statement Projection'!E106</f>
        <v>✓ Balanced</v>
      </c>
      <c r="E85" s="641" t="str">
        <f ca="1">'The 3-Statement Projection'!F106</f>
        <v>✓ Balanced</v>
      </c>
      <c r="F85" s="641" t="str">
        <f ca="1">'The 3-Statement Projection'!G106</f>
        <v>✓ Balanced</v>
      </c>
      <c r="G85" s="36"/>
      <c r="H85" s="36"/>
      <c r="I85" s="36"/>
      <c r="J85" s="36"/>
      <c r="K85" s="36"/>
      <c r="L85" s="36"/>
    </row>
    <row r="86" spans="1:12" ht="14.25" customHeight="1" x14ac:dyDescent="0.3">
      <c r="A86" s="638"/>
      <c r="B86" s="31"/>
      <c r="C86" s="31"/>
      <c r="D86" s="31"/>
      <c r="E86" s="31"/>
      <c r="F86" s="31"/>
      <c r="G86" s="36"/>
      <c r="H86" s="36"/>
      <c r="I86" s="36"/>
      <c r="J86" s="36"/>
      <c r="K86" s="36"/>
      <c r="L86" s="36"/>
    </row>
    <row r="87" spans="1:12" ht="25.5" customHeight="1" x14ac:dyDescent="0.3">
      <c r="A87" s="107" t="s">
        <v>807</v>
      </c>
      <c r="B87" s="108"/>
      <c r="C87" s="108"/>
      <c r="D87" s="108"/>
      <c r="E87" s="108"/>
      <c r="F87" s="108"/>
      <c r="G87" s="36"/>
      <c r="H87" s="36"/>
      <c r="I87" s="36"/>
      <c r="J87" s="36"/>
      <c r="K87" s="36"/>
      <c r="L87" s="36"/>
    </row>
    <row r="88" spans="1:12" ht="342.75" customHeight="1" x14ac:dyDescent="0.3">
      <c r="A88" s="638" t="s">
        <v>609</v>
      </c>
      <c r="B88" s="454">
        <f>'The 3-Statement Projection'!C85</f>
        <v>-116.9799999999999</v>
      </c>
      <c r="C88" s="454">
        <f ca="1">'The 3-Statement Projection'!D85</f>
        <v>133.04605942557828</v>
      </c>
      <c r="D88" s="454">
        <f ca="1">'The 3-Statement Projection'!E85</f>
        <v>251.20408245108075</v>
      </c>
      <c r="E88" s="454">
        <f ca="1">'The 3-Statement Projection'!F85</f>
        <v>268.68276040080571</v>
      </c>
      <c r="F88" s="454">
        <f ca="1">'The 3-Statement Projection'!G85</f>
        <v>269.67043822734547</v>
      </c>
      <c r="G88" s="36"/>
      <c r="H88" s="36"/>
      <c r="I88" s="36"/>
      <c r="J88" s="36"/>
      <c r="K88" s="36"/>
      <c r="L88" s="36"/>
    </row>
    <row r="89" spans="1:12" ht="330" customHeight="1" x14ac:dyDescent="0.3">
      <c r="A89" s="638" t="s">
        <v>615</v>
      </c>
      <c r="B89" s="454">
        <f>'The 3-Statement Projection'!C89</f>
        <v>-8.3199999999999363</v>
      </c>
      <c r="C89" s="454">
        <f>'The 3-Statement Projection'!D89</f>
        <v>-119.76003125</v>
      </c>
      <c r="D89" s="454">
        <f>'The 3-Statement Projection'!E89</f>
        <v>1.5172179687499998</v>
      </c>
      <c r="E89" s="454">
        <f>'The 3-Statement Projection'!F89</f>
        <v>150.93014841796875</v>
      </c>
      <c r="F89" s="454">
        <f>'The 3-Statement Projection'!G89</f>
        <v>0.32840212841796657</v>
      </c>
      <c r="G89" s="36"/>
      <c r="H89" s="36"/>
      <c r="I89" s="36"/>
      <c r="J89" s="36"/>
      <c r="K89" s="36"/>
      <c r="L89" s="36"/>
    </row>
    <row r="90" spans="1:12" ht="342.75" customHeight="1" x14ac:dyDescent="0.3">
      <c r="A90" s="638" t="s">
        <v>618</v>
      </c>
      <c r="B90" s="454">
        <f>'The 3-Statement Projection'!C95</f>
        <v>62.969999999999828</v>
      </c>
      <c r="C90" s="454">
        <f ca="1">'The 3-Statement Projection'!D95</f>
        <v>-221.34320299394517</v>
      </c>
      <c r="D90" s="454">
        <f ca="1">'The 3-Statement Projection'!E95</f>
        <v>-252.26283465759889</v>
      </c>
      <c r="E90" s="454">
        <f ca="1">'The 3-Statement Projection'!F95</f>
        <v>-123.93384435747417</v>
      </c>
      <c r="F90" s="454">
        <f ca="1">'The 3-Statement Projection'!G95</f>
        <v>-120.97635765142198</v>
      </c>
      <c r="G90" s="36"/>
      <c r="H90" s="36"/>
      <c r="I90" s="36"/>
      <c r="J90" s="36"/>
      <c r="K90" s="36"/>
      <c r="L90" s="36"/>
    </row>
    <row r="91" spans="1:12" ht="198" customHeight="1" x14ac:dyDescent="0.3">
      <c r="A91" s="642" t="s">
        <v>622</v>
      </c>
      <c r="B91" s="643">
        <f>'The 3-Statement Projection'!C97</f>
        <v>-62.330000000000013</v>
      </c>
      <c r="C91" s="643">
        <f ca="1">'The 3-Statement Projection'!D97</f>
        <v>-208.05717481836689</v>
      </c>
      <c r="D91" s="643">
        <f ca="1">'The 3-Statement Projection'!E97</f>
        <v>0.4584657622318673</v>
      </c>
      <c r="E91" s="643">
        <f ca="1">'The 3-Statement Projection'!F97</f>
        <v>295.6790644613003</v>
      </c>
      <c r="F91" s="643">
        <f ca="1">'The 3-Statement Projection'!G97</f>
        <v>149.02248270434146</v>
      </c>
      <c r="G91" s="36"/>
      <c r="H91" s="36"/>
      <c r="I91" s="36"/>
      <c r="J91" s="36"/>
      <c r="K91" s="36"/>
      <c r="L91" s="36"/>
    </row>
    <row r="92" spans="1:12" ht="316.5" customHeight="1" x14ac:dyDescent="0.3">
      <c r="A92" s="642" t="s">
        <v>660</v>
      </c>
      <c r="B92" s="643">
        <f>'WACC &amp; DCF Valuation'!C46</f>
        <v>-121.09930119999993</v>
      </c>
      <c r="C92" s="643">
        <f>'WACC &amp; DCF Valuation'!D46</f>
        <v>157.83174587451401</v>
      </c>
      <c r="D92" s="643">
        <f>'WACC &amp; DCF Valuation'!E46</f>
        <v>285.79723584234398</v>
      </c>
      <c r="E92" s="643">
        <f>'WACC &amp; DCF Valuation'!F46</f>
        <v>296.02926552784186</v>
      </c>
      <c r="F92" s="643">
        <f>'WACC &amp; DCF Valuation'!G46</f>
        <v>294.52881177384961</v>
      </c>
      <c r="G92" s="36"/>
      <c r="H92" s="36"/>
      <c r="I92" s="36"/>
      <c r="J92" s="36"/>
      <c r="K92" s="36"/>
      <c r="L92" s="36"/>
    </row>
    <row r="93" spans="1:12" ht="14.25" customHeight="1" x14ac:dyDescent="0.3">
      <c r="A93" s="638"/>
      <c r="B93" s="31"/>
      <c r="C93" s="31"/>
      <c r="D93" s="31"/>
      <c r="E93" s="31"/>
      <c r="F93" s="31"/>
      <c r="G93" s="36"/>
      <c r="H93" s="36"/>
      <c r="I93" s="36"/>
      <c r="J93" s="36"/>
      <c r="K93" s="36"/>
      <c r="L93" s="36"/>
    </row>
    <row r="94" spans="1:12" ht="25.5" customHeight="1" x14ac:dyDescent="0.3">
      <c r="A94" s="107" t="s">
        <v>808</v>
      </c>
      <c r="B94" s="108"/>
      <c r="C94" s="108"/>
      <c r="D94" s="108"/>
      <c r="E94" s="108"/>
      <c r="F94" s="108"/>
      <c r="G94" s="36"/>
      <c r="H94" s="36"/>
      <c r="I94" s="36"/>
      <c r="J94" s="36"/>
      <c r="K94" s="36"/>
      <c r="L94" s="36"/>
    </row>
    <row r="95" spans="1:12" ht="276.75" customHeight="1" x14ac:dyDescent="0.3">
      <c r="A95" s="638" t="s">
        <v>809</v>
      </c>
      <c r="B95" s="461">
        <f>B76/((B80+'The 3-Statement Projection'!B36)/2)</f>
        <v>0.13987294264110886</v>
      </c>
      <c r="C95" s="461">
        <f ca="1">C76/((C80+B80)/2)</f>
        <v>0.28905848319250166</v>
      </c>
      <c r="D95" s="461">
        <f ca="1">D76/((D80+C80)/2)</f>
        <v>0.24091351645640235</v>
      </c>
      <c r="E95" s="461">
        <f ca="1">E76/((E80+D80)/2)</f>
        <v>0.21868756827229985</v>
      </c>
      <c r="F95" s="461">
        <f ca="1">F76/((F80+E80)/2)</f>
        <v>0.19618583921060462</v>
      </c>
      <c r="G95" s="36"/>
      <c r="H95" s="36"/>
      <c r="I95" s="36"/>
      <c r="J95" s="36"/>
      <c r="K95" s="36"/>
      <c r="L95" s="36"/>
    </row>
    <row r="96" spans="1:12" ht="290.25" customHeight="1" x14ac:dyDescent="0.3">
      <c r="A96" s="638" t="s">
        <v>810</v>
      </c>
      <c r="B96" s="461">
        <f>B76/((B84+'The 3-Statement Projection'!B72)/2)</f>
        <v>6.107065491083212E-2</v>
      </c>
      <c r="C96" s="461">
        <f ca="1">C76/((C84+B84)/2)</f>
        <v>0.12551174933717416</v>
      </c>
      <c r="D96" s="461">
        <f ca="1">D76/((D84+C84)/2)</f>
        <v>0.11781779253610147</v>
      </c>
      <c r="E96" s="461">
        <f ca="1">E76/((E84+D84)/2)</f>
        <v>0.12341012872963227</v>
      </c>
      <c r="F96" s="461">
        <f ca="1">F76/((F84+E84)/2)</f>
        <v>0.12092511420368919</v>
      </c>
      <c r="G96" s="36"/>
      <c r="H96" s="36"/>
      <c r="I96" s="36"/>
      <c r="J96" s="36"/>
      <c r="K96" s="36"/>
      <c r="L96" s="36"/>
    </row>
    <row r="97" spans="1:12" ht="250.5" customHeight="1" x14ac:dyDescent="0.3">
      <c r="A97" s="638" t="s">
        <v>811</v>
      </c>
      <c r="B97" s="644">
        <f>B81/B80</f>
        <v>0.54766800401203608</v>
      </c>
      <c r="C97" s="644">
        <f ca="1">C81/C80</f>
        <v>0.56394752118540836</v>
      </c>
      <c r="D97" s="644">
        <f ca="1">D81/D80</f>
        <v>0.44410838638382083</v>
      </c>
      <c r="E97" s="644">
        <f ca="1">E81/E80</f>
        <v>0.3415490680049349</v>
      </c>
      <c r="F97" s="644">
        <f ca="1">F81/F80</f>
        <v>0.26193046421660887</v>
      </c>
      <c r="G97" s="36"/>
      <c r="H97" s="36"/>
      <c r="I97" s="36"/>
      <c r="J97" s="36"/>
      <c r="K97" s="36"/>
      <c r="L97" s="36"/>
    </row>
    <row r="98" spans="1:12" ht="303" customHeight="1" x14ac:dyDescent="0.3">
      <c r="A98" s="638" t="s">
        <v>812</v>
      </c>
      <c r="B98" s="645">
        <f>B71/B74</f>
        <v>5.9814980602805168</v>
      </c>
      <c r="C98" s="645">
        <f ca="1">C71/C74</f>
        <v>6.3980672523082109</v>
      </c>
      <c r="D98" s="645">
        <f ca="1">D71/D74</f>
        <v>7.7762229652139006</v>
      </c>
      <c r="E98" s="645">
        <f ca="1">E71/E74</f>
        <v>10.318866078929879</v>
      </c>
      <c r="F98" s="645">
        <f ca="1">F71/F74</f>
        <v>11.856427282444855</v>
      </c>
      <c r="G98" s="36"/>
      <c r="H98" s="36"/>
      <c r="I98" s="36"/>
      <c r="J98" s="36"/>
      <c r="K98" s="36"/>
      <c r="L98" s="36"/>
    </row>
    <row r="99" spans="1:12" ht="224.25" customHeight="1" x14ac:dyDescent="0.3">
      <c r="A99" s="638" t="s">
        <v>813</v>
      </c>
      <c r="B99" s="645">
        <f>(B81-B83)/B71</f>
        <v>1.1307124326481732</v>
      </c>
      <c r="C99" s="645">
        <f ca="1">(C81-C83)/C71</f>
        <v>1.0511704082844739</v>
      </c>
      <c r="D99" s="645">
        <f ca="1">(D81-D83)/D71</f>
        <v>1.0462728821661396</v>
      </c>
      <c r="E99" s="645">
        <f ca="1">(E81-E83)/E71</f>
        <v>0.14683590586963133</v>
      </c>
      <c r="F99" s="645">
        <f ca="1">(F81-F83)/F71</f>
        <v>-0.38151133378044172</v>
      </c>
      <c r="G99" s="36"/>
      <c r="H99" s="36"/>
      <c r="I99" s="36"/>
      <c r="J99" s="36"/>
      <c r="K99" s="36"/>
      <c r="L99" s="36"/>
    </row>
    <row r="100" spans="1:12" ht="356.25" customHeight="1" x14ac:dyDescent="0.3">
      <c r="A100" s="638" t="s">
        <v>525</v>
      </c>
      <c r="B100" s="646">
        <f>'Assumptions &amp; Drivers'!D55</f>
        <v>40</v>
      </c>
      <c r="C100" s="646">
        <f>'Assumptions &amp; Drivers'!E55</f>
        <v>37</v>
      </c>
      <c r="D100" s="646">
        <f>'Assumptions &amp; Drivers'!F55</f>
        <v>34</v>
      </c>
      <c r="E100" s="646">
        <f>'Assumptions &amp; Drivers'!G55</f>
        <v>32</v>
      </c>
      <c r="F100" s="646">
        <f>'Assumptions &amp; Drivers'!H55</f>
        <v>31</v>
      </c>
      <c r="G100" s="36"/>
      <c r="H100" s="36"/>
      <c r="I100" s="36"/>
      <c r="J100" s="36"/>
      <c r="K100" s="36"/>
      <c r="L100" s="36"/>
    </row>
    <row r="101" spans="1:12" ht="14.25" customHeight="1" x14ac:dyDescent="0.3">
      <c r="A101" s="638"/>
      <c r="B101" s="31"/>
      <c r="C101" s="31"/>
      <c r="D101" s="31"/>
      <c r="E101" s="31"/>
      <c r="F101" s="31"/>
      <c r="G101" s="36"/>
      <c r="H101" s="36"/>
      <c r="I101" s="36"/>
      <c r="J101" s="36"/>
      <c r="K101" s="36"/>
      <c r="L101" s="36"/>
    </row>
    <row r="102" spans="1:12" ht="25.5" customHeight="1" x14ac:dyDescent="0.3">
      <c r="A102" s="107" t="s">
        <v>814</v>
      </c>
      <c r="B102" s="108"/>
      <c r="C102" s="108"/>
      <c r="D102" s="108"/>
      <c r="E102" s="108"/>
      <c r="F102" s="108"/>
      <c r="G102" s="36"/>
      <c r="H102" s="36"/>
      <c r="I102" s="36"/>
      <c r="J102" s="36"/>
      <c r="K102" s="36"/>
      <c r="L102" s="36"/>
    </row>
    <row r="103" spans="1:12" ht="52.5" customHeight="1" x14ac:dyDescent="0.3">
      <c r="A103" s="638" t="s">
        <v>95</v>
      </c>
      <c r="B103" s="647">
        <f>'WACC &amp; DCF Valuation'!B32</f>
        <v>0.12514351001725652</v>
      </c>
      <c r="C103" s="31"/>
      <c r="D103" s="31"/>
      <c r="E103" s="31"/>
      <c r="F103" s="31"/>
      <c r="G103" s="36"/>
      <c r="H103" s="36"/>
      <c r="I103" s="36"/>
      <c r="J103" s="36"/>
      <c r="K103" s="36"/>
      <c r="L103" s="36"/>
    </row>
    <row r="104" spans="1:12" ht="237" customHeight="1" x14ac:dyDescent="0.3">
      <c r="A104" s="638" t="s">
        <v>815</v>
      </c>
      <c r="B104" s="648">
        <f>'WACC &amp; DCF Valuation'!B56</f>
        <v>0</v>
      </c>
      <c r="C104" s="31"/>
      <c r="D104" s="31"/>
      <c r="E104" s="31"/>
      <c r="F104" s="31"/>
      <c r="G104" s="36"/>
      <c r="H104" s="36"/>
      <c r="I104" s="36"/>
      <c r="J104" s="36"/>
      <c r="K104" s="36"/>
      <c r="L104" s="36"/>
    </row>
    <row r="105" spans="1:12" ht="264" customHeight="1" x14ac:dyDescent="0.3">
      <c r="A105" s="642" t="s">
        <v>816</v>
      </c>
      <c r="B105" s="643">
        <f>'WACC &amp; DCF Valuation'!B65</f>
        <v>2114.2459793346434</v>
      </c>
      <c r="C105" s="649"/>
      <c r="D105" s="649"/>
      <c r="E105" s="649"/>
      <c r="F105" s="649"/>
      <c r="G105" s="36"/>
      <c r="H105" s="36"/>
      <c r="I105" s="36"/>
      <c r="J105" s="36"/>
      <c r="K105" s="36"/>
      <c r="L105" s="36"/>
    </row>
    <row r="106" spans="1:12" ht="204.75" customHeight="1" x14ac:dyDescent="0.3">
      <c r="A106" s="650" t="s">
        <v>817</v>
      </c>
      <c r="B106" s="651">
        <f>'WACC &amp; DCF Valuation'!B63</f>
        <v>1296.8295801323425</v>
      </c>
      <c r="C106" s="31"/>
      <c r="D106" s="31"/>
      <c r="E106" s="31"/>
      <c r="F106" s="31"/>
      <c r="G106" s="36"/>
      <c r="H106" s="36"/>
      <c r="I106" s="36"/>
      <c r="J106" s="36"/>
      <c r="K106" s="36"/>
      <c r="L106" s="36"/>
    </row>
    <row r="107" spans="1:12" ht="204.75" customHeight="1" x14ac:dyDescent="0.3">
      <c r="A107" s="650" t="s">
        <v>818</v>
      </c>
      <c r="B107" s="651">
        <f>'WACC &amp; DCF Valuation'!B60</f>
        <v>817.41639920230114</v>
      </c>
      <c r="C107" s="31"/>
      <c r="D107" s="31"/>
      <c r="E107" s="31"/>
      <c r="F107" s="31"/>
      <c r="G107" s="36"/>
      <c r="H107" s="36"/>
      <c r="I107" s="36"/>
      <c r="J107" s="36"/>
      <c r="K107" s="36"/>
      <c r="L107" s="36"/>
    </row>
    <row r="108" spans="1:12" ht="216" customHeight="1" x14ac:dyDescent="0.3">
      <c r="A108" s="650" t="s">
        <v>819</v>
      </c>
      <c r="B108" s="637">
        <f>'WACC &amp; DCF Valuation'!B67</f>
        <v>0.38662313051177866</v>
      </c>
      <c r="C108" s="31"/>
      <c r="D108" s="31"/>
      <c r="E108" s="31"/>
      <c r="F108" s="31"/>
      <c r="G108" s="36"/>
      <c r="H108" s="36"/>
      <c r="I108" s="36"/>
      <c r="J108" s="36"/>
      <c r="K108" s="36"/>
      <c r="L108" s="36"/>
    </row>
    <row r="109" spans="1:12" ht="14.25" customHeight="1" x14ac:dyDescent="0.3">
      <c r="A109" s="638"/>
      <c r="B109" s="31"/>
      <c r="C109" s="31"/>
      <c r="D109" s="31"/>
      <c r="E109" s="31"/>
      <c r="F109" s="31"/>
      <c r="G109" s="36"/>
      <c r="H109" s="36"/>
      <c r="I109" s="36"/>
      <c r="J109" s="36"/>
      <c r="K109" s="36"/>
      <c r="L109" s="36"/>
    </row>
    <row r="110" spans="1:12" ht="250.5" customHeight="1" x14ac:dyDescent="0.3">
      <c r="A110" s="652" t="s">
        <v>820</v>
      </c>
      <c r="B110" s="31"/>
      <c r="C110" s="31"/>
      <c r="D110" s="31"/>
      <c r="E110" s="31"/>
      <c r="F110" s="31"/>
      <c r="G110" s="36"/>
      <c r="H110" s="36"/>
      <c r="I110" s="36"/>
      <c r="J110" s="36"/>
      <c r="K110" s="36"/>
      <c r="L110" s="36"/>
    </row>
    <row r="111" spans="1:12" ht="316.5" customHeight="1" x14ac:dyDescent="0.3">
      <c r="A111" s="650" t="s">
        <v>821</v>
      </c>
      <c r="B111" s="454">
        <f>'WACC &amp; DCF Valuation'!B72</f>
        <v>210.18</v>
      </c>
      <c r="C111" s="31"/>
      <c r="D111" s="31"/>
      <c r="E111" s="31"/>
      <c r="F111" s="31"/>
      <c r="G111" s="36"/>
      <c r="H111" s="36"/>
      <c r="I111" s="36"/>
      <c r="J111" s="36"/>
      <c r="K111" s="36"/>
      <c r="L111" s="36"/>
    </row>
    <row r="112" spans="1:12" ht="171" customHeight="1" x14ac:dyDescent="0.3">
      <c r="A112" s="638" t="s">
        <v>822</v>
      </c>
      <c r="B112" s="454">
        <f>'WACC &amp; DCF Valuation'!B73</f>
        <v>545.81999999999994</v>
      </c>
      <c r="C112" s="31"/>
      <c r="D112" s="31"/>
      <c r="E112" s="31"/>
      <c r="F112" s="31"/>
      <c r="G112" s="36"/>
      <c r="H112" s="36"/>
      <c r="I112" s="36"/>
      <c r="J112" s="36"/>
      <c r="K112" s="36"/>
      <c r="L112" s="36"/>
    </row>
    <row r="113" spans="1:12" ht="330" customHeight="1" x14ac:dyDescent="0.3">
      <c r="A113" s="638" t="s">
        <v>823</v>
      </c>
      <c r="B113" s="454">
        <f>'WACC &amp; DCF Valuation'!B74</f>
        <v>109.26</v>
      </c>
      <c r="C113" s="31"/>
      <c r="D113" s="31"/>
      <c r="E113" s="31"/>
      <c r="F113" s="31"/>
      <c r="G113" s="36"/>
      <c r="H113" s="36"/>
      <c r="I113" s="36"/>
      <c r="J113" s="36"/>
      <c r="K113" s="36"/>
      <c r="L113" s="36"/>
    </row>
    <row r="114" spans="1:12" ht="210.75" customHeight="1" x14ac:dyDescent="0.3">
      <c r="A114" s="639" t="s">
        <v>98</v>
      </c>
      <c r="B114" s="640">
        <f>'WACC &amp; DCF Valuation'!B76</f>
        <v>1669.3459793346433</v>
      </c>
      <c r="C114" s="653"/>
      <c r="D114" s="653"/>
      <c r="E114" s="653"/>
      <c r="F114" s="653"/>
      <c r="G114" s="36"/>
      <c r="H114" s="36"/>
      <c r="I114" s="36"/>
      <c r="J114" s="36"/>
      <c r="K114" s="36"/>
      <c r="L114" s="36"/>
    </row>
    <row r="115" spans="1:12" ht="14.25" customHeight="1" x14ac:dyDescent="0.3">
      <c r="A115" s="638"/>
      <c r="B115" s="31"/>
      <c r="C115" s="31"/>
      <c r="D115" s="31"/>
      <c r="E115" s="31"/>
      <c r="F115" s="31"/>
      <c r="G115" s="36"/>
      <c r="H115" s="36"/>
      <c r="I115" s="36"/>
      <c r="J115" s="36"/>
      <c r="K115" s="36"/>
      <c r="L115" s="36"/>
    </row>
    <row r="116" spans="1:12" ht="277.5" customHeight="1" x14ac:dyDescent="0.3">
      <c r="A116" s="638" t="s">
        <v>824</v>
      </c>
      <c r="B116" s="454">
        <f>'WACC &amp; DCF Valuation'!B80</f>
        <v>3.2429999999999999</v>
      </c>
      <c r="C116" s="31"/>
      <c r="D116" s="31"/>
      <c r="E116" s="31"/>
      <c r="F116" s="31"/>
      <c r="G116" s="36"/>
      <c r="H116" s="36"/>
      <c r="I116" s="36"/>
      <c r="J116" s="36"/>
      <c r="K116" s="36"/>
      <c r="L116" s="36"/>
    </row>
    <row r="117" spans="1:12" ht="30" customHeight="1" x14ac:dyDescent="0.3">
      <c r="A117" s="654" t="s">
        <v>825</v>
      </c>
      <c r="B117" s="655">
        <f>'WACC &amp; DCF Valuation'!B81</f>
        <v>514.75361681610957</v>
      </c>
      <c r="C117" s="649"/>
      <c r="D117" s="649"/>
      <c r="E117" s="649"/>
      <c r="F117" s="649"/>
      <c r="G117" s="36"/>
      <c r="H117" s="36"/>
      <c r="I117" s="36"/>
      <c r="J117" s="36"/>
      <c r="K117" s="36"/>
      <c r="L117" s="36"/>
    </row>
    <row r="118" spans="1:12" ht="14.25" customHeight="1" x14ac:dyDescent="0.3">
      <c r="A118" s="638"/>
      <c r="B118" s="31"/>
      <c r="C118" s="31"/>
      <c r="D118" s="31"/>
      <c r="E118" s="31"/>
      <c r="F118" s="31"/>
      <c r="G118" s="36"/>
      <c r="H118" s="36"/>
      <c r="I118" s="36"/>
      <c r="J118" s="36"/>
      <c r="K118" s="36"/>
      <c r="L118" s="36"/>
    </row>
    <row r="119" spans="1:12" ht="25.5" customHeight="1" x14ac:dyDescent="0.3">
      <c r="A119" s="107" t="s">
        <v>826</v>
      </c>
      <c r="B119" s="108"/>
      <c r="C119" s="108"/>
      <c r="D119" s="108"/>
      <c r="E119" s="108"/>
      <c r="F119" s="108"/>
      <c r="G119" s="36"/>
      <c r="H119" s="36"/>
      <c r="I119" s="36"/>
      <c r="J119" s="36"/>
      <c r="K119" s="36"/>
      <c r="L119" s="36"/>
    </row>
    <row r="120" spans="1:12" ht="276.75" customHeight="1" x14ac:dyDescent="0.3">
      <c r="A120" s="638" t="s">
        <v>827</v>
      </c>
      <c r="B120" s="656">
        <f>'Assumptions &amp; Drivers'!D6</f>
        <v>0.77900000000000003</v>
      </c>
      <c r="C120" s="657" t="s">
        <v>828</v>
      </c>
      <c r="D120" s="31"/>
      <c r="E120" s="31"/>
      <c r="F120" s="31"/>
      <c r="G120" s="36"/>
      <c r="H120" s="36"/>
      <c r="I120" s="36"/>
      <c r="J120" s="36"/>
      <c r="K120" s="36"/>
      <c r="L120" s="36"/>
    </row>
    <row r="121" spans="1:12" ht="342.75" customHeight="1" x14ac:dyDescent="0.3">
      <c r="A121" s="638" t="s">
        <v>829</v>
      </c>
      <c r="B121" s="658">
        <f>'Assumptions &amp; Drivers'!D7</f>
        <v>0.65936792554557122</v>
      </c>
      <c r="C121" s="658">
        <f>'Assumptions &amp; Drivers'!E7</f>
        <v>0.81662081386392804</v>
      </c>
      <c r="D121" s="658">
        <f>'Assumptions &amp; Drivers'!F7</f>
        <v>0.86155021052631586</v>
      </c>
      <c r="E121" s="658">
        <f>'Assumptions &amp; Drivers'!G7</f>
        <v>0.86155021052631586</v>
      </c>
      <c r="F121" s="658">
        <f>'Assumptions &amp; Drivers'!H7</f>
        <v>0.86155021052631586</v>
      </c>
      <c r="G121" s="36"/>
      <c r="H121" s="36"/>
      <c r="I121" s="36"/>
      <c r="J121" s="36"/>
      <c r="K121" s="36"/>
      <c r="L121" s="36"/>
    </row>
    <row r="122" spans="1:12" ht="237" customHeight="1" x14ac:dyDescent="0.3">
      <c r="A122" s="638" t="s">
        <v>830</v>
      </c>
      <c r="B122" s="659" t="str">
        <f>"~3% YoY (from ₹"&amp;TEXT('Scenario Engine'!C49,"#,##0")&amp;"/MT base)"</f>
        <v>~3% YoY (from ₹27,000/MT base)</v>
      </c>
      <c r="C122" s="31"/>
      <c r="D122" s="31"/>
      <c r="E122" s="31"/>
      <c r="F122" s="31"/>
      <c r="G122" s="36"/>
      <c r="H122" s="36"/>
      <c r="I122" s="36"/>
      <c r="J122" s="36"/>
      <c r="K122" s="36"/>
      <c r="L122" s="36"/>
    </row>
    <row r="123" spans="1:12" ht="184.5" customHeight="1" x14ac:dyDescent="0.3">
      <c r="A123" s="638" t="s">
        <v>831</v>
      </c>
      <c r="B123" s="648">
        <f>'Assumptions &amp; Drivers'!D13</f>
        <v>0.82</v>
      </c>
      <c r="C123" s="657" t="s">
        <v>828</v>
      </c>
      <c r="D123" s="31"/>
      <c r="E123" s="31"/>
      <c r="F123" s="31"/>
      <c r="G123" s="36"/>
      <c r="H123" s="36"/>
      <c r="I123" s="36"/>
      <c r="J123" s="36"/>
      <c r="K123" s="36"/>
      <c r="L123" s="36"/>
    </row>
    <row r="124" spans="1:12" ht="396" customHeight="1" x14ac:dyDescent="0.3">
      <c r="A124" s="638" t="s">
        <v>832</v>
      </c>
      <c r="B124" s="648">
        <f>'Assumptions &amp; Drivers'!D62</f>
        <v>0.05</v>
      </c>
      <c r="C124" s="657" t="s">
        <v>833</v>
      </c>
      <c r="D124" s="31"/>
      <c r="E124" s="31"/>
      <c r="F124" s="31"/>
      <c r="G124" s="36"/>
      <c r="H124" s="36"/>
      <c r="I124" s="36"/>
      <c r="J124" s="36"/>
      <c r="K124" s="36"/>
      <c r="L124" s="36"/>
    </row>
    <row r="125" spans="1:12" ht="316.5" customHeight="1" x14ac:dyDescent="0.3">
      <c r="A125" s="638" t="s">
        <v>834</v>
      </c>
      <c r="B125" s="454">
        <f>'Assumptions &amp; Drivers'!D58</f>
        <v>22.35125</v>
      </c>
      <c r="C125" s="657" t="s">
        <v>828</v>
      </c>
      <c r="D125" s="31"/>
      <c r="E125" s="31"/>
      <c r="F125" s="31"/>
      <c r="G125" s="36"/>
      <c r="H125" s="36"/>
      <c r="I125" s="36"/>
      <c r="J125" s="36"/>
      <c r="K125" s="36"/>
      <c r="L125" s="36"/>
    </row>
    <row r="126" spans="1:12" ht="276.75" customHeight="1" x14ac:dyDescent="0.3">
      <c r="A126" s="638" t="s">
        <v>835</v>
      </c>
      <c r="B126" s="454">
        <f>'Assumptions &amp; Drivers'!D69</f>
        <v>-38.94</v>
      </c>
      <c r="C126" s="657" t="s">
        <v>836</v>
      </c>
      <c r="D126" s="31"/>
      <c r="E126" s="31"/>
      <c r="F126" s="31"/>
      <c r="G126" s="36"/>
      <c r="H126" s="36"/>
      <c r="I126" s="36"/>
      <c r="J126" s="36"/>
      <c r="K126" s="36"/>
      <c r="L126" s="36"/>
    </row>
    <row r="127" spans="1:12" ht="276.75" customHeight="1" x14ac:dyDescent="0.3">
      <c r="A127" s="638" t="s">
        <v>85</v>
      </c>
      <c r="B127" s="647">
        <f>'Assumptions &amp; Drivers'!D71</f>
        <v>0.09</v>
      </c>
      <c r="C127" s="657" t="s">
        <v>837</v>
      </c>
      <c r="D127" s="31"/>
      <c r="E127" s="31"/>
      <c r="F127" s="31"/>
      <c r="G127" s="36"/>
      <c r="H127" s="36"/>
      <c r="I127" s="36"/>
      <c r="J127" s="36"/>
      <c r="K127" s="36"/>
      <c r="L127" s="36"/>
    </row>
    <row r="128" spans="1:12" ht="237" customHeight="1" x14ac:dyDescent="0.3">
      <c r="A128" s="638" t="s">
        <v>552</v>
      </c>
      <c r="B128" s="647">
        <f>'Assumptions &amp; Drivers'!D74</f>
        <v>0.25169999999999998</v>
      </c>
      <c r="C128" s="657" t="s">
        <v>838</v>
      </c>
      <c r="D128" s="31"/>
      <c r="E128" s="31"/>
      <c r="F128" s="31"/>
      <c r="G128" s="36"/>
      <c r="H128" s="36"/>
      <c r="I128" s="36"/>
      <c r="J128" s="36"/>
      <c r="K128" s="36"/>
      <c r="L128" s="36"/>
    </row>
    <row r="129" spans="1:12" ht="290.25" customHeight="1" x14ac:dyDescent="0.3">
      <c r="A129" s="638" t="s">
        <v>839</v>
      </c>
      <c r="B129" s="647"/>
      <c r="C129" s="657"/>
      <c r="D129" s="31"/>
      <c r="E129" s="31"/>
      <c r="F129" s="31"/>
      <c r="G129" s="36"/>
      <c r="H129" s="36"/>
      <c r="I129" s="36"/>
      <c r="J129" s="36"/>
      <c r="K129" s="36"/>
      <c r="L129" s="36"/>
    </row>
    <row r="130" spans="1:12" ht="409.5" customHeight="1" x14ac:dyDescent="0.3">
      <c r="A130" s="638" t="str">
        <f>IF('Scenario Engine'!B3="Bear","⚠️ BEAR CASE: Deleveraging is delayed due to FX-driven margin compression and higher working capital friction. Equity value significantly discounted.",IF('Scenario Engine'!B3="Bull","✅ BULL CASE: Favourable FX and lower coal prices support margins. Accelerated deleveraging.","📊 BASE CASE: EBITDA margins "&amp;TEXT('The 3-Statement Projection'!C16,"0.0%")&amp;" → "&amp;TEXT('The 3-Statement Projection'!G16,"0.0%")&amp;". DCF value ₹"&amp;TEXT('WACC &amp; DCF Valuation'!B81,"#,##0")&amp;"/share. Comps (post-DLOM) ₹"&amp;TEXT('Comparable Company Analysis'!C42,"#,##0")&amp;"/share."))</f>
        <v>📊 BASE CASE: EBITDA margins 10.7% → 16.8%. DCF value ₹515/share. Comps (post-DLOM) ₹452/share.</v>
      </c>
      <c r="B130" s="647"/>
      <c r="C130" s="657"/>
      <c r="D130" s="31"/>
      <c r="E130" s="31"/>
      <c r="F130" s="31"/>
      <c r="G130" s="36"/>
      <c r="H130" s="36"/>
      <c r="I130" s="36"/>
      <c r="J130" s="36"/>
      <c r="K130" s="36"/>
      <c r="L130" s="36"/>
    </row>
    <row r="131" spans="1:12" ht="14.25" customHeight="1" x14ac:dyDescent="0.3">
      <c r="A131" s="12"/>
      <c r="B131" s="26"/>
      <c r="C131" s="27"/>
      <c r="D131" s="28"/>
      <c r="E131" s="28"/>
      <c r="F131" s="28"/>
    </row>
  </sheetData>
  <mergeCells count="2">
    <mergeCell ref="A63:F63"/>
    <mergeCell ref="A64:F64"/>
  </mergeCells>
  <conditionalFormatting sqref="B83:F83">
    <cfRule type="cellIs" dxfId="2" priority="4" operator="lessThan">
      <formula>0</formula>
    </cfRule>
  </conditionalFormatting>
  <conditionalFormatting sqref="B85:F85">
    <cfRule type="containsText" dxfId="1" priority="2" operator="containsText" text="Balanced">
      <formula>NOT(ISERROR(SEARCH("Balanced",B85)))</formula>
    </cfRule>
    <cfRule type="containsText" dxfId="0" priority="3" operator="containsText" text="IMBALANCE">
      <formula>NOT(ISERROR(SEARCH("IMBALANCE",B85)))</formula>
    </cfRule>
  </conditionalFormatting>
  <pageMargins left="0.7" right="0.7" top="0.75" bottom="0.75" header="0.511811023622047" footer="0.511811023622047"/>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5A5A5"/>
  </sheetPr>
  <dimension ref="A1:L64"/>
  <sheetViews>
    <sheetView showGridLines="0" zoomScale="119" zoomScaleNormal="107" workbookViewId="0">
      <selection activeCell="L17" sqref="L17"/>
    </sheetView>
  </sheetViews>
  <sheetFormatPr defaultColWidth="8.6640625" defaultRowHeight="14.4" x14ac:dyDescent="0.3"/>
  <cols>
    <col min="2" max="2" width="70.33203125" customWidth="1"/>
    <col min="3" max="12" width="14.77734375" customWidth="1"/>
  </cols>
  <sheetData>
    <row r="1" spans="1:12" ht="24" customHeight="1" x14ac:dyDescent="0.3">
      <c r="A1" s="665" t="s">
        <v>1266</v>
      </c>
      <c r="B1" s="79"/>
      <c r="C1" s="79"/>
      <c r="D1" s="79"/>
      <c r="E1" s="79"/>
      <c r="F1" s="79"/>
      <c r="G1" s="79"/>
      <c r="H1" s="79"/>
      <c r="I1" s="79"/>
      <c r="J1" s="79"/>
      <c r="K1" s="79"/>
      <c r="L1" s="79"/>
    </row>
    <row r="2" spans="1:12" ht="14.25" customHeight="1" x14ac:dyDescent="0.3">
      <c r="A2" s="60"/>
      <c r="B2" s="60" t="s">
        <v>749</v>
      </c>
      <c r="C2" s="60"/>
      <c r="D2" s="60"/>
      <c r="E2" s="60"/>
      <c r="F2" s="60"/>
      <c r="G2" s="60"/>
      <c r="H2" s="60"/>
      <c r="I2" s="60"/>
      <c r="J2" s="60"/>
      <c r="K2" s="60"/>
      <c r="L2" s="60"/>
    </row>
    <row r="3" spans="1:12" ht="14.25" customHeight="1" x14ac:dyDescent="0.3">
      <c r="A3" s="78"/>
      <c r="B3" s="78" t="s">
        <v>840</v>
      </c>
      <c r="C3" s="78"/>
      <c r="D3" s="78"/>
      <c r="E3" s="78"/>
      <c r="F3" s="78"/>
      <c r="G3" s="78"/>
      <c r="H3" s="78"/>
      <c r="I3" s="78"/>
      <c r="J3" s="78"/>
      <c r="K3" s="78"/>
      <c r="L3" s="78"/>
    </row>
    <row r="4" spans="1:12" ht="14.25" customHeight="1" x14ac:dyDescent="0.3">
      <c r="A4" s="165"/>
      <c r="B4" s="77"/>
      <c r="C4" s="660" t="s">
        <v>1258</v>
      </c>
      <c r="D4" s="660" t="s">
        <v>1259</v>
      </c>
      <c r="E4" s="660" t="s">
        <v>1260</v>
      </c>
      <c r="F4" s="660" t="s">
        <v>1261</v>
      </c>
      <c r="G4" s="660" t="s">
        <v>1262</v>
      </c>
      <c r="H4" s="660" t="s">
        <v>1263</v>
      </c>
      <c r="I4" s="660" t="s">
        <v>1264</v>
      </c>
      <c r="J4" s="660" t="s">
        <v>1265</v>
      </c>
      <c r="K4" s="660" t="s">
        <v>144</v>
      </c>
      <c r="L4" s="660" t="s">
        <v>145</v>
      </c>
    </row>
    <row r="5" spans="1:12" ht="14.25" customHeight="1" x14ac:dyDescent="0.3">
      <c r="A5" s="661"/>
      <c r="B5" s="662"/>
      <c r="C5" s="662" t="s">
        <v>751</v>
      </c>
      <c r="D5" s="662" t="s">
        <v>751</v>
      </c>
      <c r="E5" s="662" t="s">
        <v>751</v>
      </c>
      <c r="F5" s="662" t="s">
        <v>751</v>
      </c>
      <c r="G5" s="662" t="s">
        <v>751</v>
      </c>
      <c r="H5" s="662" t="s">
        <v>751</v>
      </c>
      <c r="I5" s="662" t="s">
        <v>751</v>
      </c>
      <c r="J5" s="662" t="s">
        <v>751</v>
      </c>
      <c r="K5" s="662" t="s">
        <v>751</v>
      </c>
      <c r="L5" s="662" t="s">
        <v>751</v>
      </c>
    </row>
    <row r="6" spans="1:12" ht="14.25" customHeight="1" x14ac:dyDescent="0.3">
      <c r="A6" s="663"/>
      <c r="B6" s="664"/>
      <c r="C6" s="664" t="s">
        <v>752</v>
      </c>
      <c r="D6" s="664" t="s">
        <v>752</v>
      </c>
      <c r="E6" s="664" t="s">
        <v>752</v>
      </c>
      <c r="F6" s="664" t="s">
        <v>752</v>
      </c>
      <c r="G6" s="664" t="s">
        <v>752</v>
      </c>
      <c r="H6" s="664" t="s">
        <v>752</v>
      </c>
      <c r="I6" s="664" t="s">
        <v>752</v>
      </c>
      <c r="J6" s="664" t="s">
        <v>752</v>
      </c>
      <c r="K6" s="664" t="s">
        <v>752</v>
      </c>
      <c r="L6" s="664" t="s">
        <v>752</v>
      </c>
    </row>
    <row r="7" spans="1:12" ht="14.25" customHeight="1" x14ac:dyDescent="0.3">
      <c r="A7" s="36"/>
      <c r="B7" s="36" t="s">
        <v>218</v>
      </c>
      <c r="C7" s="36"/>
      <c r="D7" s="36"/>
      <c r="E7" s="36"/>
      <c r="F7" s="36"/>
      <c r="G7" s="36"/>
      <c r="H7" s="36"/>
      <c r="I7" s="36"/>
      <c r="J7" s="36"/>
      <c r="K7" s="36"/>
      <c r="L7" s="36"/>
    </row>
    <row r="8" spans="1:12" ht="14.25" customHeight="1" x14ac:dyDescent="0.3">
      <c r="A8" s="36"/>
      <c r="B8" s="36" t="s">
        <v>753</v>
      </c>
      <c r="C8" s="36">
        <v>374.96</v>
      </c>
      <c r="D8" s="36">
        <v>695.71</v>
      </c>
      <c r="E8" s="36">
        <v>904.55</v>
      </c>
      <c r="F8" s="36">
        <v>942.77</v>
      </c>
      <c r="G8" s="36">
        <v>767.86</v>
      </c>
      <c r="H8" s="36">
        <v>769.78</v>
      </c>
      <c r="I8" s="42">
        <v>1251.0999999999999</v>
      </c>
      <c r="J8" s="42">
        <v>2007.62</v>
      </c>
      <c r="K8" s="42">
        <v>1613.51</v>
      </c>
      <c r="L8" s="42">
        <v>1890.03</v>
      </c>
    </row>
    <row r="9" spans="1:12" ht="14.25" customHeight="1" x14ac:dyDescent="0.3">
      <c r="A9" s="36"/>
      <c r="B9" s="36" t="s">
        <v>754</v>
      </c>
      <c r="C9" s="36">
        <v>374.96</v>
      </c>
      <c r="D9" s="36">
        <v>685.96</v>
      </c>
      <c r="E9" s="36">
        <v>896.91</v>
      </c>
      <c r="F9" s="36">
        <v>937.2</v>
      </c>
      <c r="G9" s="36">
        <v>761.77</v>
      </c>
      <c r="H9" s="36">
        <v>763.46</v>
      </c>
      <c r="I9" s="42">
        <v>1242.17</v>
      </c>
      <c r="J9" s="42">
        <v>1993.32</v>
      </c>
      <c r="K9" s="42">
        <v>1572.92</v>
      </c>
      <c r="L9" s="42">
        <v>1871.33</v>
      </c>
    </row>
    <row r="10" spans="1:12" ht="14.25" customHeight="1" x14ac:dyDescent="0.3">
      <c r="A10" s="36"/>
      <c r="B10" s="36" t="s">
        <v>841</v>
      </c>
      <c r="C10" s="36">
        <v>374.96</v>
      </c>
      <c r="D10" s="36">
        <v>685.96</v>
      </c>
      <c r="E10" s="36">
        <v>896.91</v>
      </c>
      <c r="F10" s="36">
        <v>937.2</v>
      </c>
      <c r="G10" s="36">
        <v>761.11</v>
      </c>
      <c r="H10" s="36">
        <v>759.75</v>
      </c>
      <c r="I10" s="42">
        <v>1242.17</v>
      </c>
      <c r="J10" s="42">
        <v>1988.64</v>
      </c>
      <c r="K10" s="42">
        <v>1568.24</v>
      </c>
      <c r="L10" s="42">
        <v>1866.65</v>
      </c>
    </row>
    <row r="11" spans="1:12" ht="14.25" customHeight="1" x14ac:dyDescent="0.3">
      <c r="A11" s="36"/>
      <c r="B11" s="36" t="s">
        <v>842</v>
      </c>
      <c r="C11" s="36"/>
      <c r="D11" s="36"/>
      <c r="E11" s="36"/>
      <c r="F11" s="36"/>
      <c r="G11" s="36">
        <v>0.66</v>
      </c>
      <c r="H11" s="36">
        <v>3.71</v>
      </c>
      <c r="I11" s="36"/>
      <c r="J11" s="36">
        <v>4.68</v>
      </c>
      <c r="K11" s="36">
        <v>4.68</v>
      </c>
      <c r="L11" s="36">
        <v>4.68</v>
      </c>
    </row>
    <row r="12" spans="1:12" ht="14.25" customHeight="1" x14ac:dyDescent="0.3">
      <c r="A12" s="36"/>
      <c r="B12" s="36" t="s">
        <v>755</v>
      </c>
      <c r="C12" s="36"/>
      <c r="D12" s="36">
        <v>8.6199999999999992</v>
      </c>
      <c r="E12" s="36">
        <v>3.11</v>
      </c>
      <c r="F12" s="36">
        <v>5.25</v>
      </c>
      <c r="G12" s="36">
        <v>5.01</v>
      </c>
      <c r="H12" s="36">
        <v>3.34</v>
      </c>
      <c r="I12" s="36">
        <v>4.88</v>
      </c>
      <c r="J12" s="36">
        <v>4.62</v>
      </c>
      <c r="K12" s="36">
        <v>10.56</v>
      </c>
      <c r="L12" s="36">
        <v>0</v>
      </c>
    </row>
    <row r="13" spans="1:12" ht="14.25" customHeight="1" x14ac:dyDescent="0.3">
      <c r="A13" s="36"/>
      <c r="B13" s="36" t="s">
        <v>843</v>
      </c>
      <c r="C13" s="36"/>
      <c r="D13" s="36">
        <v>0.55000000000000004</v>
      </c>
      <c r="E13" s="36">
        <v>1.08</v>
      </c>
      <c r="F13" s="36">
        <v>2.25</v>
      </c>
      <c r="G13" s="36">
        <v>1.9</v>
      </c>
      <c r="H13" s="36">
        <v>2.27</v>
      </c>
      <c r="I13" s="36">
        <v>1.74</v>
      </c>
      <c r="J13" s="36"/>
      <c r="K13" s="36"/>
      <c r="L13" s="36"/>
    </row>
    <row r="14" spans="1:12" ht="14.25" customHeight="1" x14ac:dyDescent="0.3">
      <c r="A14" s="36"/>
      <c r="B14" s="36" t="s">
        <v>844</v>
      </c>
      <c r="C14" s="36"/>
      <c r="D14" s="36"/>
      <c r="E14" s="36"/>
      <c r="F14" s="36">
        <v>0.88</v>
      </c>
      <c r="G14" s="36">
        <v>0.08</v>
      </c>
      <c r="H14" s="36">
        <v>0.01</v>
      </c>
      <c r="I14" s="36"/>
      <c r="J14" s="36"/>
      <c r="K14" s="36"/>
      <c r="L14" s="36"/>
    </row>
    <row r="15" spans="1:12" ht="14.25" customHeight="1" x14ac:dyDescent="0.3">
      <c r="A15" s="36"/>
      <c r="B15" s="36" t="s">
        <v>845</v>
      </c>
      <c r="C15" s="36"/>
      <c r="D15" s="36">
        <v>8.07</v>
      </c>
      <c r="E15" s="36">
        <v>2.0299999999999998</v>
      </c>
      <c r="F15" s="36">
        <v>2.12</v>
      </c>
      <c r="G15" s="36">
        <v>3.03</v>
      </c>
      <c r="H15" s="36">
        <v>1.06</v>
      </c>
      <c r="I15" s="36">
        <v>3.14</v>
      </c>
      <c r="J15" s="36">
        <v>4.62</v>
      </c>
      <c r="K15" s="36">
        <v>10.56</v>
      </c>
      <c r="L15" s="36">
        <v>0</v>
      </c>
    </row>
    <row r="16" spans="1:12" ht="14.25" customHeight="1" x14ac:dyDescent="0.3">
      <c r="A16" s="36"/>
      <c r="B16" s="36" t="s">
        <v>846</v>
      </c>
      <c r="C16" s="36"/>
      <c r="D16" s="36"/>
      <c r="E16" s="36">
        <v>2.97</v>
      </c>
      <c r="F16" s="36">
        <v>0.22</v>
      </c>
      <c r="G16" s="36"/>
      <c r="H16" s="36">
        <v>0.03</v>
      </c>
      <c r="I16" s="36">
        <v>0.1</v>
      </c>
      <c r="J16" s="36">
        <v>9.68</v>
      </c>
      <c r="K16" s="36">
        <v>30.03</v>
      </c>
      <c r="L16" s="36">
        <v>18.7</v>
      </c>
    </row>
    <row r="17" spans="1:12" ht="14.25" customHeight="1" x14ac:dyDescent="0.3">
      <c r="A17" s="36"/>
      <c r="B17" s="36" t="s">
        <v>847</v>
      </c>
      <c r="C17" s="36"/>
      <c r="D17" s="36">
        <v>1.1299999999999999</v>
      </c>
      <c r="E17" s="36">
        <v>1.56</v>
      </c>
      <c r="F17" s="36">
        <v>0.1</v>
      </c>
      <c r="G17" s="36">
        <v>1.08</v>
      </c>
      <c r="H17" s="36">
        <v>2.95</v>
      </c>
      <c r="I17" s="36">
        <v>3.95</v>
      </c>
      <c r="J17" s="36"/>
      <c r="K17" s="36"/>
      <c r="L17" s="73">
        <v>0</v>
      </c>
    </row>
    <row r="18" spans="1:12" ht="14.25" customHeight="1" x14ac:dyDescent="0.3">
      <c r="A18" s="36"/>
      <c r="B18" s="36"/>
      <c r="C18" s="36"/>
      <c r="D18" s="36"/>
      <c r="E18" s="36"/>
      <c r="F18" s="36"/>
      <c r="G18" s="36"/>
      <c r="H18" s="36"/>
      <c r="I18" s="36"/>
      <c r="J18" s="36"/>
      <c r="K18" s="36"/>
      <c r="L18" s="36"/>
    </row>
    <row r="19" spans="1:12" ht="14.25" customHeight="1" x14ac:dyDescent="0.3">
      <c r="A19" s="36"/>
      <c r="B19" s="36" t="s">
        <v>756</v>
      </c>
      <c r="C19" s="36">
        <v>30</v>
      </c>
      <c r="D19" s="36">
        <v>-2.74</v>
      </c>
      <c r="E19" s="36">
        <v>-28.74</v>
      </c>
      <c r="F19" s="36">
        <v>44.81</v>
      </c>
      <c r="G19" s="36">
        <v>0.38</v>
      </c>
      <c r="H19" s="36">
        <v>-34.380000000000003</v>
      </c>
      <c r="I19" s="36">
        <v>155.69999999999999</v>
      </c>
      <c r="J19" s="36">
        <v>-90.53</v>
      </c>
      <c r="K19" s="36">
        <v>-42.23</v>
      </c>
      <c r="L19" s="36">
        <v>63.16</v>
      </c>
    </row>
    <row r="20" spans="1:12" ht="14.25" customHeight="1" x14ac:dyDescent="0.3">
      <c r="A20" s="36"/>
      <c r="B20" s="36"/>
      <c r="C20" s="36"/>
      <c r="D20" s="36"/>
      <c r="E20" s="36"/>
      <c r="F20" s="36"/>
      <c r="G20" s="36"/>
      <c r="H20" s="36"/>
      <c r="I20" s="36"/>
      <c r="J20" s="36"/>
      <c r="K20" s="36"/>
      <c r="L20" s="36"/>
    </row>
    <row r="21" spans="1:12" ht="14.25" customHeight="1" x14ac:dyDescent="0.3">
      <c r="A21" s="36"/>
      <c r="B21" s="36" t="s">
        <v>757</v>
      </c>
      <c r="C21" s="36">
        <v>437.03</v>
      </c>
      <c r="D21" s="36">
        <v>668.8</v>
      </c>
      <c r="E21" s="36">
        <v>818.64</v>
      </c>
      <c r="F21" s="36">
        <v>947.47</v>
      </c>
      <c r="G21" s="36">
        <v>779.99</v>
      </c>
      <c r="H21" s="36">
        <v>677.54</v>
      </c>
      <c r="I21" s="42">
        <v>1167.99</v>
      </c>
      <c r="J21" s="42">
        <v>1752.11</v>
      </c>
      <c r="K21" s="42">
        <v>1471.76</v>
      </c>
      <c r="L21" s="42">
        <v>1838.59</v>
      </c>
    </row>
    <row r="22" spans="1:12" ht="14.25" customHeight="1" x14ac:dyDescent="0.3">
      <c r="A22" s="36"/>
      <c r="B22" s="36" t="s">
        <v>848</v>
      </c>
      <c r="C22" s="36">
        <v>410.12</v>
      </c>
      <c r="D22" s="36">
        <v>573.59</v>
      </c>
      <c r="E22" s="36">
        <v>705.17</v>
      </c>
      <c r="F22" s="36">
        <v>850.68</v>
      </c>
      <c r="G22" s="36">
        <v>711.35</v>
      </c>
      <c r="H22" s="36">
        <v>581.49</v>
      </c>
      <c r="I22" s="42">
        <v>1021.46</v>
      </c>
      <c r="J22" s="42">
        <v>1642.86</v>
      </c>
      <c r="K22" s="42">
        <v>1367.89</v>
      </c>
      <c r="L22" s="42">
        <v>1734.05</v>
      </c>
    </row>
    <row r="23" spans="1:12" ht="14.25" customHeight="1" x14ac:dyDescent="0.3">
      <c r="A23" s="36"/>
      <c r="B23" s="36" t="s">
        <v>849</v>
      </c>
      <c r="C23" s="36">
        <v>352.62</v>
      </c>
      <c r="D23" s="36">
        <v>495.86</v>
      </c>
      <c r="E23" s="36">
        <v>636.6</v>
      </c>
      <c r="F23" s="36">
        <v>783.1</v>
      </c>
      <c r="G23" s="36">
        <v>637.9</v>
      </c>
      <c r="H23" s="36">
        <v>500.44</v>
      </c>
      <c r="I23" s="36">
        <v>926.59</v>
      </c>
      <c r="J23" s="42">
        <v>1544.97</v>
      </c>
      <c r="K23" s="42">
        <v>1254.07</v>
      </c>
      <c r="L23" s="42">
        <v>1593.29</v>
      </c>
    </row>
    <row r="24" spans="1:12" ht="14.25" customHeight="1" x14ac:dyDescent="0.3">
      <c r="A24" s="36"/>
      <c r="B24" s="36" t="s">
        <v>850</v>
      </c>
      <c r="C24" s="36"/>
      <c r="D24" s="36"/>
      <c r="E24" s="36"/>
      <c r="F24" s="36"/>
      <c r="G24" s="36"/>
      <c r="H24" s="36">
        <v>6.89</v>
      </c>
      <c r="I24" s="36">
        <v>4.22</v>
      </c>
      <c r="J24" s="36"/>
      <c r="K24" s="36"/>
      <c r="L24" s="36"/>
    </row>
    <row r="25" spans="1:12" ht="14.25" customHeight="1" x14ac:dyDescent="0.3">
      <c r="A25" s="36"/>
      <c r="B25" s="36" t="s">
        <v>851</v>
      </c>
      <c r="C25" s="36"/>
      <c r="D25" s="36"/>
      <c r="E25" s="36"/>
      <c r="F25" s="36"/>
      <c r="G25" s="36"/>
      <c r="H25" s="36"/>
      <c r="I25" s="36"/>
      <c r="J25" s="36"/>
      <c r="K25" s="36"/>
      <c r="L25" s="36"/>
    </row>
    <row r="26" spans="1:12" ht="14.25" customHeight="1" x14ac:dyDescent="0.3">
      <c r="A26" s="36"/>
      <c r="B26" s="36" t="s">
        <v>852</v>
      </c>
      <c r="C26" s="36">
        <v>14.81</v>
      </c>
      <c r="D26" s="36">
        <v>16.91</v>
      </c>
      <c r="E26" s="36">
        <v>17.22</v>
      </c>
      <c r="F26" s="36">
        <v>16.559999999999999</v>
      </c>
      <c r="G26" s="36">
        <v>28.88</v>
      </c>
      <c r="H26" s="36">
        <v>29.09</v>
      </c>
      <c r="I26" s="36">
        <v>31.89</v>
      </c>
      <c r="J26" s="36">
        <v>35.299999999999997</v>
      </c>
      <c r="K26" s="36">
        <v>40.22</v>
      </c>
      <c r="L26" s="36">
        <v>45.36</v>
      </c>
    </row>
    <row r="27" spans="1:12" ht="14.25" customHeight="1" x14ac:dyDescent="0.3">
      <c r="A27" s="36"/>
      <c r="B27" s="36" t="s">
        <v>853</v>
      </c>
      <c r="C27" s="36">
        <v>7.13</v>
      </c>
      <c r="D27" s="36">
        <v>9.43</v>
      </c>
      <c r="E27" s="36">
        <v>8.19</v>
      </c>
      <c r="F27" s="36">
        <v>9.75</v>
      </c>
      <c r="G27" s="36">
        <v>10.08</v>
      </c>
      <c r="H27" s="36">
        <v>10.28</v>
      </c>
      <c r="I27" s="36">
        <v>12.84</v>
      </c>
      <c r="J27" s="36">
        <v>12.16</v>
      </c>
      <c r="K27" s="36">
        <v>14.62</v>
      </c>
      <c r="L27" s="36">
        <v>17.850000000000001</v>
      </c>
    </row>
    <row r="28" spans="1:12" ht="14.25" customHeight="1" x14ac:dyDescent="0.3">
      <c r="A28" s="36"/>
      <c r="B28" s="36" t="s">
        <v>854</v>
      </c>
      <c r="C28" s="36">
        <v>16.7</v>
      </c>
      <c r="D28" s="36">
        <v>29.51</v>
      </c>
      <c r="E28" s="36">
        <v>8.75</v>
      </c>
      <c r="F28" s="36">
        <v>0.08</v>
      </c>
      <c r="G28" s="36">
        <v>0.04</v>
      </c>
      <c r="H28" s="36">
        <v>0.04</v>
      </c>
      <c r="I28" s="36">
        <v>0.11</v>
      </c>
      <c r="J28" s="36">
        <v>0.18</v>
      </c>
      <c r="K28" s="36">
        <v>0.12</v>
      </c>
      <c r="L28" s="36">
        <v>0</v>
      </c>
    </row>
    <row r="29" spans="1:12" ht="14.25" customHeight="1" x14ac:dyDescent="0.3">
      <c r="A29" s="36"/>
      <c r="B29" s="36" t="s">
        <v>855</v>
      </c>
      <c r="C29" s="36"/>
      <c r="D29" s="36"/>
      <c r="E29" s="36"/>
      <c r="F29" s="36"/>
      <c r="G29" s="36"/>
      <c r="H29" s="36"/>
      <c r="I29" s="36"/>
      <c r="J29" s="36"/>
      <c r="K29" s="36"/>
      <c r="L29" s="36"/>
    </row>
    <row r="30" spans="1:12" ht="14.25" customHeight="1" x14ac:dyDescent="0.3">
      <c r="A30" s="36"/>
      <c r="B30" s="36" t="s">
        <v>856</v>
      </c>
      <c r="C30" s="36">
        <v>0.16</v>
      </c>
      <c r="D30" s="36">
        <v>0.71</v>
      </c>
      <c r="E30" s="36">
        <v>4.78</v>
      </c>
      <c r="F30" s="36">
        <v>4.78</v>
      </c>
      <c r="G30" s="36">
        <v>4.8499999999999996</v>
      </c>
      <c r="H30" s="36">
        <v>4.7699999999999996</v>
      </c>
      <c r="I30" s="36">
        <v>4.76</v>
      </c>
      <c r="J30" s="36">
        <v>5.31</v>
      </c>
      <c r="K30" s="36">
        <v>5.4</v>
      </c>
      <c r="L30" s="36">
        <v>0</v>
      </c>
    </row>
    <row r="31" spans="1:12" ht="14.25" customHeight="1" x14ac:dyDescent="0.3">
      <c r="A31" s="36"/>
      <c r="B31" s="36" t="s">
        <v>857</v>
      </c>
      <c r="C31" s="36">
        <v>1.27</v>
      </c>
      <c r="D31" s="36">
        <v>1.92</v>
      </c>
      <c r="E31" s="36">
        <v>1.9</v>
      </c>
      <c r="F31" s="36">
        <v>3.43</v>
      </c>
      <c r="G31" s="36">
        <v>2.65</v>
      </c>
      <c r="H31" s="36">
        <v>2.8</v>
      </c>
      <c r="I31" s="36">
        <v>3.19</v>
      </c>
      <c r="J31" s="36">
        <v>2.81</v>
      </c>
      <c r="K31" s="36">
        <v>8.19</v>
      </c>
      <c r="L31" s="36">
        <v>8.08</v>
      </c>
    </row>
    <row r="32" spans="1:12" ht="14.25" customHeight="1" x14ac:dyDescent="0.3">
      <c r="A32" s="36"/>
      <c r="B32" s="36" t="s">
        <v>858</v>
      </c>
      <c r="C32" s="36">
        <v>0.48</v>
      </c>
      <c r="D32" s="36">
        <v>0.49</v>
      </c>
      <c r="E32" s="36">
        <v>0.63</v>
      </c>
      <c r="F32" s="36">
        <v>0.4</v>
      </c>
      <c r="G32" s="36">
        <v>0.43</v>
      </c>
      <c r="H32" s="36">
        <v>2.4500000000000002</v>
      </c>
      <c r="I32" s="36">
        <v>3.34</v>
      </c>
      <c r="J32" s="36">
        <v>4.2699999999999996</v>
      </c>
      <c r="K32" s="36">
        <v>3.58</v>
      </c>
      <c r="L32" s="36">
        <v>0</v>
      </c>
    </row>
    <row r="33" spans="1:12" ht="14.25" customHeight="1" x14ac:dyDescent="0.3">
      <c r="A33" s="36"/>
      <c r="B33" s="36" t="s">
        <v>859</v>
      </c>
      <c r="C33" s="36"/>
      <c r="D33" s="36"/>
      <c r="E33" s="36"/>
      <c r="F33" s="36"/>
      <c r="G33" s="36"/>
      <c r="H33" s="36"/>
      <c r="I33" s="36"/>
      <c r="J33" s="36"/>
      <c r="K33" s="36"/>
      <c r="L33" s="36"/>
    </row>
    <row r="34" spans="1:12" ht="14.25" customHeight="1" x14ac:dyDescent="0.3">
      <c r="A34" s="36"/>
      <c r="B34" s="36" t="s">
        <v>860</v>
      </c>
      <c r="C34" s="36">
        <v>2.0099999999999998</v>
      </c>
      <c r="D34" s="36">
        <v>3.84</v>
      </c>
      <c r="E34" s="36">
        <v>1.6</v>
      </c>
      <c r="F34" s="36">
        <v>0.3</v>
      </c>
      <c r="G34" s="36">
        <v>0.45</v>
      </c>
      <c r="H34" s="36">
        <v>0.38</v>
      </c>
      <c r="I34" s="36">
        <v>0.43</v>
      </c>
      <c r="J34" s="36">
        <v>0.61</v>
      </c>
      <c r="K34" s="36">
        <v>0.52</v>
      </c>
      <c r="L34" s="36">
        <v>10.62</v>
      </c>
    </row>
    <row r="35" spans="1:12" ht="14.25" customHeight="1" x14ac:dyDescent="0.3">
      <c r="A35" s="36"/>
      <c r="B35" s="36" t="s">
        <v>861</v>
      </c>
      <c r="C35" s="36"/>
      <c r="D35" s="36">
        <v>0.01</v>
      </c>
      <c r="E35" s="36">
        <v>0.02</v>
      </c>
      <c r="F35" s="36">
        <v>0.02</v>
      </c>
      <c r="G35" s="36">
        <v>0.01</v>
      </c>
      <c r="H35" s="36"/>
      <c r="I35" s="36"/>
      <c r="J35" s="36"/>
      <c r="K35" s="36"/>
      <c r="L35" s="36"/>
    </row>
    <row r="36" spans="1:12" ht="14.25" customHeight="1" x14ac:dyDescent="0.3">
      <c r="A36" s="36"/>
      <c r="B36" s="36" t="s">
        <v>862</v>
      </c>
      <c r="C36" s="36">
        <v>0.02</v>
      </c>
      <c r="D36" s="36"/>
      <c r="E36" s="36"/>
      <c r="F36" s="36"/>
      <c r="G36" s="36"/>
      <c r="H36" s="36"/>
      <c r="I36" s="36"/>
      <c r="J36" s="36">
        <v>1.17</v>
      </c>
      <c r="K36" s="36">
        <v>3.07</v>
      </c>
      <c r="L36" s="36">
        <v>9.06</v>
      </c>
    </row>
    <row r="37" spans="1:12" ht="14.25" customHeight="1" x14ac:dyDescent="0.3">
      <c r="A37" s="36"/>
      <c r="B37" s="36" t="s">
        <v>863</v>
      </c>
      <c r="C37" s="36">
        <v>0.49</v>
      </c>
      <c r="D37" s="36">
        <v>0.47</v>
      </c>
      <c r="E37" s="36">
        <v>0.41</v>
      </c>
      <c r="F37" s="36">
        <v>0.32</v>
      </c>
      <c r="G37" s="36">
        <v>0.36</v>
      </c>
      <c r="H37" s="36">
        <v>0.26</v>
      </c>
      <c r="I37" s="36">
        <v>0.37</v>
      </c>
      <c r="J37" s="36">
        <v>0.7</v>
      </c>
      <c r="K37" s="36">
        <v>1.33</v>
      </c>
      <c r="L37" s="36">
        <v>0</v>
      </c>
    </row>
    <row r="38" spans="1:12" ht="14.25" customHeight="1" x14ac:dyDescent="0.3">
      <c r="A38" s="36"/>
      <c r="B38" s="36" t="s">
        <v>864</v>
      </c>
      <c r="C38" s="36">
        <v>0.12</v>
      </c>
      <c r="D38" s="36">
        <v>0.13</v>
      </c>
      <c r="E38" s="36">
        <v>0.05</v>
      </c>
      <c r="F38" s="36">
        <v>0.08</v>
      </c>
      <c r="G38" s="36">
        <v>0.09</v>
      </c>
      <c r="H38" s="36">
        <v>7.0000000000000007E-2</v>
      </c>
      <c r="I38" s="36">
        <v>0.12</v>
      </c>
      <c r="J38" s="36">
        <v>0.12</v>
      </c>
      <c r="K38" s="36">
        <v>0.16</v>
      </c>
      <c r="L38" s="36">
        <v>0</v>
      </c>
    </row>
    <row r="39" spans="1:12" ht="14.25" customHeight="1" x14ac:dyDescent="0.3">
      <c r="A39" s="36"/>
      <c r="B39" s="36" t="s">
        <v>865</v>
      </c>
      <c r="C39" s="36"/>
      <c r="D39" s="36"/>
      <c r="E39" s="36"/>
      <c r="F39" s="36"/>
      <c r="G39" s="36"/>
      <c r="H39" s="36"/>
      <c r="I39" s="36"/>
      <c r="J39" s="36"/>
      <c r="K39" s="36"/>
      <c r="L39" s="36"/>
    </row>
    <row r="40" spans="1:12" ht="14.25" customHeight="1" x14ac:dyDescent="0.3">
      <c r="A40" s="36"/>
      <c r="B40" s="36" t="s">
        <v>866</v>
      </c>
      <c r="C40" s="36">
        <v>14.31</v>
      </c>
      <c r="D40" s="36">
        <v>14.31</v>
      </c>
      <c r="E40" s="36">
        <v>25.02</v>
      </c>
      <c r="F40" s="36">
        <v>32.159999999999997</v>
      </c>
      <c r="G40" s="36">
        <v>26.48</v>
      </c>
      <c r="H40" s="36">
        <v>24.98</v>
      </c>
      <c r="I40" s="36">
        <v>16.37</v>
      </c>
      <c r="J40" s="36">
        <v>16.05</v>
      </c>
      <c r="K40" s="36">
        <v>15.93</v>
      </c>
      <c r="L40" s="36">
        <v>20.68</v>
      </c>
    </row>
    <row r="41" spans="1:12" ht="14.25" customHeight="1" x14ac:dyDescent="0.3">
      <c r="A41" s="36"/>
      <c r="B41" s="36" t="s">
        <v>867</v>
      </c>
      <c r="C41" s="36"/>
      <c r="D41" s="36"/>
      <c r="E41" s="36"/>
      <c r="F41" s="36"/>
      <c r="G41" s="36"/>
      <c r="H41" s="36"/>
      <c r="I41" s="36">
        <v>17.23</v>
      </c>
      <c r="J41" s="36">
        <v>19.21</v>
      </c>
      <c r="K41" s="36">
        <v>20.68</v>
      </c>
      <c r="L41" s="36">
        <v>29.11</v>
      </c>
    </row>
    <row r="42" spans="1:12" ht="14.25" customHeight="1" x14ac:dyDescent="0.3">
      <c r="A42" s="36"/>
      <c r="B42" s="36" t="s">
        <v>868</v>
      </c>
      <c r="C42" s="36"/>
      <c r="D42" s="36"/>
      <c r="E42" s="36"/>
      <c r="F42" s="36"/>
      <c r="G42" s="36"/>
      <c r="H42" s="36"/>
      <c r="I42" s="36"/>
      <c r="J42" s="36"/>
      <c r="K42" s="36"/>
      <c r="L42" s="36"/>
    </row>
    <row r="43" spans="1:12" ht="14.25" customHeight="1" x14ac:dyDescent="0.3">
      <c r="A43" s="36"/>
      <c r="B43" s="36" t="s">
        <v>869</v>
      </c>
      <c r="C43" s="36"/>
      <c r="D43" s="36"/>
      <c r="E43" s="36"/>
      <c r="F43" s="36"/>
      <c r="G43" s="36"/>
      <c r="H43" s="36"/>
      <c r="I43" s="36"/>
      <c r="J43" s="36"/>
      <c r="K43" s="36"/>
      <c r="L43" s="36"/>
    </row>
    <row r="44" spans="1:12" ht="14.25" customHeight="1" x14ac:dyDescent="0.3">
      <c r="A44" s="36"/>
      <c r="B44" s="36" t="s">
        <v>870</v>
      </c>
      <c r="C44" s="36">
        <v>9.31</v>
      </c>
      <c r="D44" s="36">
        <v>53.01</v>
      </c>
      <c r="E44" s="36">
        <v>59.95</v>
      </c>
      <c r="F44" s="36">
        <v>55.18</v>
      </c>
      <c r="G44" s="36">
        <v>51.75</v>
      </c>
      <c r="H44" s="36">
        <v>50.96</v>
      </c>
      <c r="I44" s="36">
        <v>34.909999999999997</v>
      </c>
      <c r="J44" s="36">
        <v>33.200000000000003</v>
      </c>
      <c r="K44" s="36">
        <v>39.86</v>
      </c>
      <c r="L44" s="36">
        <v>33.51</v>
      </c>
    </row>
    <row r="45" spans="1:12" ht="14.25" customHeight="1" x14ac:dyDescent="0.3">
      <c r="A45" s="36"/>
      <c r="B45" s="36" t="s">
        <v>871</v>
      </c>
      <c r="C45" s="36">
        <v>2.11</v>
      </c>
      <c r="D45" s="36">
        <v>2.5499999999999998</v>
      </c>
      <c r="E45" s="36"/>
      <c r="F45" s="36"/>
      <c r="G45" s="36"/>
      <c r="H45" s="36"/>
      <c r="I45" s="36"/>
      <c r="J45" s="36"/>
      <c r="K45" s="36"/>
      <c r="L45" s="73">
        <v>0</v>
      </c>
    </row>
    <row r="46" spans="1:12" ht="14.25" customHeight="1" x14ac:dyDescent="0.3">
      <c r="A46" s="36"/>
      <c r="B46" s="36" t="s">
        <v>872</v>
      </c>
      <c r="C46" s="36">
        <v>7.2</v>
      </c>
      <c r="D46" s="36">
        <v>50.46</v>
      </c>
      <c r="E46" s="36">
        <v>59.95</v>
      </c>
      <c r="F46" s="36">
        <v>55.18</v>
      </c>
      <c r="G46" s="36">
        <v>51.75</v>
      </c>
      <c r="H46" s="36">
        <v>50.96</v>
      </c>
      <c r="I46" s="36">
        <v>34.909999999999997</v>
      </c>
      <c r="J46" s="36">
        <v>33.200000000000003</v>
      </c>
      <c r="K46" s="36">
        <v>39.86</v>
      </c>
      <c r="L46" s="36">
        <v>33.51</v>
      </c>
    </row>
    <row r="47" spans="1:12" ht="14.25" customHeight="1" x14ac:dyDescent="0.3">
      <c r="A47" s="36"/>
      <c r="B47" s="36" t="s">
        <v>873</v>
      </c>
      <c r="C47" s="36">
        <v>29.11</v>
      </c>
      <c r="D47" s="36">
        <v>29.34</v>
      </c>
      <c r="E47" s="36">
        <v>27.29</v>
      </c>
      <c r="F47" s="36">
        <v>17.23</v>
      </c>
      <c r="G47" s="36">
        <v>17.96</v>
      </c>
      <c r="H47" s="36">
        <v>19.989999999999998</v>
      </c>
      <c r="I47" s="36">
        <v>21.21</v>
      </c>
      <c r="J47" s="36">
        <v>21.45</v>
      </c>
      <c r="K47" s="36">
        <v>21.11</v>
      </c>
      <c r="L47" s="36">
        <v>30.98</v>
      </c>
    </row>
    <row r="48" spans="1:12" ht="14.25" customHeight="1" x14ac:dyDescent="0.3">
      <c r="A48" s="36"/>
      <c r="B48" s="36" t="s">
        <v>874</v>
      </c>
      <c r="C48" s="36">
        <v>29.11</v>
      </c>
      <c r="D48" s="36">
        <v>29.34</v>
      </c>
      <c r="E48" s="36">
        <v>27.29</v>
      </c>
      <c r="F48" s="36">
        <v>17.23</v>
      </c>
      <c r="G48" s="36">
        <v>17.96</v>
      </c>
      <c r="H48" s="36">
        <v>19.989999999999998</v>
      </c>
      <c r="I48" s="36">
        <v>21.21</v>
      </c>
      <c r="J48" s="36">
        <v>21.45</v>
      </c>
      <c r="K48" s="36">
        <v>21.11</v>
      </c>
      <c r="L48" s="36">
        <v>30.98</v>
      </c>
    </row>
    <row r="49" spans="1:12" ht="14.25" customHeight="1" x14ac:dyDescent="0.3">
      <c r="A49" s="36"/>
      <c r="B49" s="36" t="s">
        <v>875</v>
      </c>
      <c r="C49" s="36"/>
      <c r="D49" s="36"/>
      <c r="E49" s="36"/>
      <c r="F49" s="36"/>
      <c r="G49" s="36"/>
      <c r="H49" s="36"/>
      <c r="I49" s="36"/>
      <c r="J49" s="36"/>
      <c r="K49" s="36"/>
      <c r="L49" s="36"/>
    </row>
    <row r="50" spans="1:12" ht="14.25" customHeight="1" x14ac:dyDescent="0.3">
      <c r="A50" s="36"/>
      <c r="B50" s="36" t="s">
        <v>876</v>
      </c>
      <c r="C50" s="36"/>
      <c r="D50" s="36"/>
      <c r="E50" s="36"/>
      <c r="F50" s="36"/>
      <c r="G50" s="36"/>
      <c r="H50" s="36"/>
      <c r="I50" s="36"/>
      <c r="J50" s="36"/>
      <c r="K50" s="36"/>
      <c r="L50" s="36"/>
    </row>
    <row r="51" spans="1:12" ht="14.25" customHeight="1" x14ac:dyDescent="0.3">
      <c r="A51" s="36"/>
      <c r="B51" s="36" t="s">
        <v>877</v>
      </c>
      <c r="C51" s="36"/>
      <c r="D51" s="36"/>
      <c r="E51" s="36"/>
      <c r="F51" s="36"/>
      <c r="G51" s="36"/>
      <c r="H51" s="36"/>
      <c r="I51" s="36"/>
      <c r="J51" s="36"/>
      <c r="K51" s="36"/>
      <c r="L51" s="36"/>
    </row>
    <row r="52" spans="1:12" ht="14.25" customHeight="1" x14ac:dyDescent="0.3">
      <c r="A52" s="36"/>
      <c r="B52" s="36"/>
      <c r="C52" s="36"/>
      <c r="D52" s="36"/>
      <c r="E52" s="36"/>
      <c r="F52" s="36"/>
      <c r="G52" s="36"/>
      <c r="H52" s="36"/>
      <c r="I52" s="36"/>
      <c r="J52" s="36"/>
      <c r="K52" s="36"/>
      <c r="L52" s="36"/>
    </row>
    <row r="53" spans="1:12" ht="14.25" customHeight="1" x14ac:dyDescent="0.3">
      <c r="A53" s="36"/>
      <c r="B53" s="36" t="s">
        <v>878</v>
      </c>
      <c r="C53" s="36">
        <v>5.46</v>
      </c>
      <c r="D53" s="36"/>
      <c r="E53" s="36"/>
      <c r="F53" s="36"/>
      <c r="G53" s="36">
        <v>0.88</v>
      </c>
      <c r="H53" s="36"/>
      <c r="I53" s="36"/>
      <c r="J53" s="36"/>
      <c r="K53" s="36">
        <v>6.93</v>
      </c>
      <c r="L53" s="36">
        <v>0</v>
      </c>
    </row>
    <row r="54" spans="1:12" ht="14.25" customHeight="1" x14ac:dyDescent="0.3">
      <c r="A54" s="36"/>
      <c r="B54" s="36"/>
      <c r="C54" s="36"/>
      <c r="D54" s="36"/>
      <c r="E54" s="36"/>
      <c r="F54" s="36"/>
      <c r="G54" s="36"/>
      <c r="H54" s="36"/>
      <c r="I54" s="36"/>
      <c r="J54" s="36"/>
      <c r="K54" s="36"/>
      <c r="L54" s="36"/>
    </row>
    <row r="55" spans="1:12" ht="14.25" customHeight="1" x14ac:dyDescent="0.3">
      <c r="A55" s="36"/>
      <c r="B55" s="36" t="s">
        <v>879</v>
      </c>
      <c r="C55" s="36">
        <v>-16.97</v>
      </c>
      <c r="D55" s="36">
        <v>12.86</v>
      </c>
      <c r="E55" s="36">
        <v>26.23</v>
      </c>
      <c r="F55" s="36">
        <v>24.38</v>
      </c>
      <c r="G55" s="36">
        <v>-1.95</v>
      </c>
      <c r="H55" s="36">
        <v>25.1</v>
      </c>
      <c r="I55" s="36">
        <v>90.41</v>
      </c>
      <c r="J55" s="36">
        <v>54.6</v>
      </c>
      <c r="K55" s="36">
        <v>35.97</v>
      </c>
      <c r="L55" s="36">
        <v>40.049999999999997</v>
      </c>
    </row>
    <row r="56" spans="1:12" ht="14.25" customHeight="1" x14ac:dyDescent="0.3">
      <c r="A56" s="36"/>
      <c r="B56" s="36"/>
      <c r="C56" s="36"/>
      <c r="D56" s="36"/>
      <c r="E56" s="36"/>
      <c r="F56" s="36"/>
      <c r="G56" s="36"/>
      <c r="H56" s="36"/>
      <c r="I56" s="36"/>
      <c r="J56" s="36"/>
      <c r="K56" s="36"/>
      <c r="L56" s="36"/>
    </row>
    <row r="57" spans="1:12" ht="14.25" customHeight="1" x14ac:dyDescent="0.3">
      <c r="A57" s="36"/>
      <c r="B57" s="36" t="s">
        <v>880</v>
      </c>
      <c r="C57" s="36">
        <v>-32.07</v>
      </c>
      <c r="D57" s="36">
        <v>24.17</v>
      </c>
      <c r="E57" s="36">
        <v>57.17</v>
      </c>
      <c r="F57" s="36">
        <v>40.11</v>
      </c>
      <c r="G57" s="36">
        <v>-11.75</v>
      </c>
      <c r="H57" s="36">
        <v>57.86</v>
      </c>
      <c r="I57" s="36">
        <v>238.81</v>
      </c>
      <c r="J57" s="36">
        <v>164.98</v>
      </c>
      <c r="K57" s="36">
        <v>99.52</v>
      </c>
      <c r="L57" s="36">
        <v>114.59</v>
      </c>
    </row>
    <row r="58" spans="1:12" ht="14.25" customHeight="1" x14ac:dyDescent="0.3">
      <c r="A58" s="36"/>
      <c r="B58" s="36"/>
      <c r="C58" s="36"/>
      <c r="D58" s="36"/>
      <c r="E58" s="36"/>
      <c r="F58" s="36"/>
      <c r="G58" s="36"/>
      <c r="H58" s="36"/>
      <c r="I58" s="36"/>
      <c r="J58" s="36"/>
      <c r="K58" s="36"/>
      <c r="L58" s="36"/>
    </row>
    <row r="59" spans="1:12" ht="14.25" customHeight="1" x14ac:dyDescent="0.3">
      <c r="A59" s="36"/>
      <c r="B59" s="36" t="s">
        <v>881</v>
      </c>
      <c r="C59" s="36"/>
      <c r="D59" s="36"/>
      <c r="E59" s="36"/>
      <c r="F59" s="36"/>
      <c r="G59" s="36"/>
      <c r="H59" s="36"/>
      <c r="I59" s="36"/>
      <c r="J59" s="36"/>
      <c r="K59" s="36"/>
      <c r="L59" s="36"/>
    </row>
    <row r="60" spans="1:12" ht="14.25" customHeight="1" x14ac:dyDescent="0.3">
      <c r="A60" s="36"/>
      <c r="B60" s="36" t="s">
        <v>882</v>
      </c>
      <c r="C60" s="36">
        <v>374.96</v>
      </c>
      <c r="D60" s="36">
        <v>694.58</v>
      </c>
      <c r="E60" s="36">
        <v>902.99</v>
      </c>
      <c r="F60" s="36">
        <v>942.67</v>
      </c>
      <c r="G60" s="36">
        <v>766.78</v>
      </c>
      <c r="H60" s="36">
        <v>766.83</v>
      </c>
      <c r="I60" s="42">
        <v>1247.1500000000001</v>
      </c>
      <c r="J60" s="42">
        <v>2007.62</v>
      </c>
      <c r="K60" s="42">
        <v>1613.51</v>
      </c>
      <c r="L60" s="42">
        <v>1890.03</v>
      </c>
    </row>
    <row r="61" spans="1:12" ht="14.25" customHeight="1" x14ac:dyDescent="0.3">
      <c r="A61" s="36"/>
      <c r="B61" s="36" t="s">
        <v>883</v>
      </c>
      <c r="C61" s="36">
        <v>358.26</v>
      </c>
      <c r="D61" s="36">
        <v>656.45</v>
      </c>
      <c r="E61" s="36">
        <v>888.16</v>
      </c>
      <c r="F61" s="36">
        <v>937.12</v>
      </c>
      <c r="G61" s="36">
        <v>761.73</v>
      </c>
      <c r="H61" s="36">
        <v>763.42</v>
      </c>
      <c r="I61" s="42">
        <v>1242.06</v>
      </c>
      <c r="J61" s="42">
        <v>1993.14</v>
      </c>
      <c r="K61" s="42">
        <v>1572.8</v>
      </c>
      <c r="L61" s="42">
        <v>1871.33</v>
      </c>
    </row>
    <row r="62" spans="1:12" ht="14.25" customHeight="1" x14ac:dyDescent="0.3">
      <c r="A62" s="36"/>
      <c r="B62" s="36" t="s">
        <v>884</v>
      </c>
      <c r="C62" s="36">
        <v>365.36</v>
      </c>
      <c r="D62" s="36">
        <v>545.54</v>
      </c>
      <c r="E62" s="36">
        <v>711.86</v>
      </c>
      <c r="F62" s="36">
        <v>777.72</v>
      </c>
      <c r="G62" s="36">
        <v>685.84</v>
      </c>
      <c r="H62" s="36">
        <v>592.41999999999996</v>
      </c>
      <c r="I62" s="36">
        <v>848.24</v>
      </c>
      <c r="J62" s="42">
        <v>1712.59</v>
      </c>
      <c r="K62" s="42">
        <v>1384.69</v>
      </c>
      <c r="L62" s="42">
        <v>1575.49</v>
      </c>
    </row>
    <row r="63" spans="1:12" ht="14.25" customHeight="1" x14ac:dyDescent="0.3">
      <c r="A63" s="36"/>
      <c r="B63" s="36" t="s">
        <v>885</v>
      </c>
      <c r="C63" s="36">
        <v>409.23</v>
      </c>
      <c r="D63" s="36">
        <v>605.66</v>
      </c>
      <c r="E63" s="36">
        <v>761.18</v>
      </c>
      <c r="F63" s="36">
        <v>823.08</v>
      </c>
      <c r="G63" s="36">
        <v>728.92</v>
      </c>
      <c r="H63" s="36">
        <v>635.86</v>
      </c>
      <c r="I63" s="36">
        <v>886</v>
      </c>
      <c r="J63" s="42">
        <v>1752.13</v>
      </c>
      <c r="K63" s="42">
        <v>1426.98</v>
      </c>
      <c r="L63" s="42">
        <v>1638.65</v>
      </c>
    </row>
    <row r="64" spans="1:12" ht="14.25" customHeight="1" x14ac:dyDescent="0.3">
      <c r="A64" s="36"/>
      <c r="B64" s="36" t="s">
        <v>886</v>
      </c>
      <c r="C64" s="36">
        <v>1.1200000000000001</v>
      </c>
      <c r="D64" s="36">
        <v>1.66</v>
      </c>
      <c r="E64" s="36">
        <v>2.09</v>
      </c>
      <c r="F64" s="36">
        <v>2.2599999999999998</v>
      </c>
      <c r="G64" s="36">
        <v>2</v>
      </c>
      <c r="H64" s="36">
        <v>1.74</v>
      </c>
      <c r="I64" s="36">
        <v>2.4300000000000002</v>
      </c>
      <c r="J64" s="36">
        <v>4.8</v>
      </c>
      <c r="K64" s="36">
        <v>3.91</v>
      </c>
      <c r="L64" s="36">
        <v>4.49</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5A5A5"/>
  </sheetPr>
  <dimension ref="A1:L71"/>
  <sheetViews>
    <sheetView showGridLines="0" topLeftCell="B1" zoomScale="101" zoomScaleNormal="101" workbookViewId="0">
      <selection activeCell="I13" sqref="I13"/>
    </sheetView>
  </sheetViews>
  <sheetFormatPr defaultColWidth="8.6640625" defaultRowHeight="14.4" x14ac:dyDescent="0.3"/>
  <cols>
    <col min="2" max="2" width="63.6640625" customWidth="1"/>
    <col min="3" max="12" width="14.77734375" customWidth="1"/>
  </cols>
  <sheetData>
    <row r="1" spans="1:12" ht="24" customHeight="1" x14ac:dyDescent="0.3">
      <c r="A1" s="665" t="s">
        <v>1266</v>
      </c>
      <c r="B1" s="79"/>
      <c r="C1" s="79"/>
      <c r="D1" s="79"/>
      <c r="E1" s="79"/>
      <c r="F1" s="79"/>
      <c r="G1" s="79"/>
      <c r="H1" s="79"/>
      <c r="I1" s="79"/>
      <c r="J1" s="79"/>
      <c r="K1" s="79"/>
      <c r="L1" s="79"/>
    </row>
    <row r="2" spans="1:12" ht="14.25" customHeight="1" x14ac:dyDescent="0.3">
      <c r="A2" s="60"/>
      <c r="B2" s="60" t="s">
        <v>749</v>
      </c>
      <c r="C2" s="60"/>
      <c r="D2" s="60"/>
      <c r="E2" s="60"/>
      <c r="F2" s="60"/>
      <c r="G2" s="60"/>
      <c r="H2" s="60"/>
      <c r="I2" s="60"/>
      <c r="J2" s="60"/>
      <c r="K2" s="60"/>
      <c r="L2" s="60"/>
    </row>
    <row r="3" spans="1:12" ht="14.25" customHeight="1" x14ac:dyDescent="0.3">
      <c r="A3" s="78"/>
      <c r="B3" s="78" t="s">
        <v>887</v>
      </c>
      <c r="C3" s="78"/>
      <c r="D3" s="78"/>
      <c r="E3" s="78"/>
      <c r="F3" s="78"/>
      <c r="G3" s="78"/>
      <c r="H3" s="78"/>
      <c r="I3" s="78"/>
      <c r="J3" s="78"/>
      <c r="K3" s="78"/>
      <c r="L3" s="78"/>
    </row>
    <row r="4" spans="1:12" ht="14.25" customHeight="1" x14ac:dyDescent="0.3">
      <c r="A4" s="165"/>
      <c r="B4" s="77"/>
      <c r="C4" s="660" t="s">
        <v>1258</v>
      </c>
      <c r="D4" s="660" t="s">
        <v>1259</v>
      </c>
      <c r="E4" s="660" t="s">
        <v>1260</v>
      </c>
      <c r="F4" s="660" t="s">
        <v>1261</v>
      </c>
      <c r="G4" s="660" t="s">
        <v>1262</v>
      </c>
      <c r="H4" s="660" t="s">
        <v>1263</v>
      </c>
      <c r="I4" s="660" t="s">
        <v>1264</v>
      </c>
      <c r="J4" s="660" t="s">
        <v>1265</v>
      </c>
      <c r="K4" s="660" t="s">
        <v>144</v>
      </c>
      <c r="L4" s="660" t="s">
        <v>145</v>
      </c>
    </row>
    <row r="5" spans="1:12" ht="14.25" customHeight="1" x14ac:dyDescent="0.3">
      <c r="A5" s="661"/>
      <c r="B5" s="662"/>
      <c r="C5" s="662" t="s">
        <v>751</v>
      </c>
      <c r="D5" s="662" t="s">
        <v>751</v>
      </c>
      <c r="E5" s="662" t="s">
        <v>751</v>
      </c>
      <c r="F5" s="662" t="s">
        <v>751</v>
      </c>
      <c r="G5" s="662" t="s">
        <v>751</v>
      </c>
      <c r="H5" s="662" t="s">
        <v>751</v>
      </c>
      <c r="I5" s="662" t="s">
        <v>751</v>
      </c>
      <c r="J5" s="662" t="s">
        <v>751</v>
      </c>
      <c r="K5" s="662" t="s">
        <v>751</v>
      </c>
      <c r="L5" s="662" t="s">
        <v>751</v>
      </c>
    </row>
    <row r="6" spans="1:12" ht="14.25" customHeight="1" x14ac:dyDescent="0.3">
      <c r="A6" s="663"/>
      <c r="B6" s="664"/>
      <c r="C6" s="664" t="s">
        <v>752</v>
      </c>
      <c r="D6" s="664" t="s">
        <v>752</v>
      </c>
      <c r="E6" s="664" t="s">
        <v>752</v>
      </c>
      <c r="F6" s="664" t="s">
        <v>752</v>
      </c>
      <c r="G6" s="664" t="s">
        <v>752</v>
      </c>
      <c r="H6" s="664" t="s">
        <v>752</v>
      </c>
      <c r="I6" s="664" t="s">
        <v>752</v>
      </c>
      <c r="J6" s="664" t="s">
        <v>752</v>
      </c>
      <c r="K6" s="664" t="s">
        <v>752</v>
      </c>
      <c r="L6" s="664" t="s">
        <v>752</v>
      </c>
    </row>
    <row r="7" spans="1:12" ht="14.25" customHeight="1" x14ac:dyDescent="0.3">
      <c r="A7" s="36"/>
      <c r="B7" s="36" t="s">
        <v>218</v>
      </c>
      <c r="C7" s="36"/>
      <c r="D7" s="36"/>
      <c r="E7" s="36"/>
      <c r="F7" s="36"/>
      <c r="G7" s="36"/>
      <c r="H7" s="36"/>
      <c r="I7" s="36"/>
      <c r="J7" s="36"/>
      <c r="K7" s="36"/>
      <c r="L7" s="36"/>
    </row>
    <row r="8" spans="1:12" ht="14.25" customHeight="1" x14ac:dyDescent="0.3">
      <c r="A8" s="36"/>
      <c r="B8" s="36" t="s">
        <v>768</v>
      </c>
      <c r="C8" s="36">
        <v>612.02</v>
      </c>
      <c r="D8" s="36">
        <v>952.81</v>
      </c>
      <c r="E8" s="36">
        <v>851.13</v>
      </c>
      <c r="F8" s="36">
        <v>853.27</v>
      </c>
      <c r="G8" s="36">
        <v>823.64</v>
      </c>
      <c r="H8" s="36">
        <v>827.35</v>
      </c>
      <c r="I8" s="42">
        <v>1615.55</v>
      </c>
      <c r="J8" s="42">
        <v>1491.05</v>
      </c>
      <c r="K8" s="42">
        <v>1875.56</v>
      </c>
      <c r="L8" s="42">
        <v>1877.46</v>
      </c>
    </row>
    <row r="9" spans="1:12" ht="14.25" customHeight="1" x14ac:dyDescent="0.3">
      <c r="A9" s="36"/>
      <c r="B9" s="36"/>
      <c r="C9" s="36"/>
      <c r="D9" s="36"/>
      <c r="E9" s="36"/>
      <c r="F9" s="36"/>
      <c r="G9" s="36"/>
      <c r="H9" s="36"/>
      <c r="I9" s="36"/>
      <c r="J9" s="36"/>
      <c r="K9" s="36"/>
      <c r="L9" s="36"/>
    </row>
    <row r="10" spans="1:12" ht="14.25" customHeight="1" x14ac:dyDescent="0.3">
      <c r="A10" s="36"/>
      <c r="B10" s="36" t="s">
        <v>888</v>
      </c>
      <c r="C10" s="36">
        <v>91.7</v>
      </c>
      <c r="D10" s="36">
        <v>141.69999999999999</v>
      </c>
      <c r="E10" s="36">
        <v>141.69999999999999</v>
      </c>
      <c r="F10" s="36">
        <v>141.69999999999999</v>
      </c>
      <c r="G10" s="36">
        <v>141.69999999999999</v>
      </c>
      <c r="H10" s="36">
        <v>141.69</v>
      </c>
      <c r="I10" s="36">
        <v>141.69</v>
      </c>
      <c r="J10" s="36">
        <v>141.69</v>
      </c>
      <c r="K10" s="36">
        <v>141.69</v>
      </c>
      <c r="L10" s="36">
        <v>134.85</v>
      </c>
    </row>
    <row r="11" spans="1:12" ht="14.25" customHeight="1" x14ac:dyDescent="0.3">
      <c r="A11" s="36"/>
      <c r="B11" s="36" t="s">
        <v>770</v>
      </c>
      <c r="C11" s="36">
        <v>0.05</v>
      </c>
      <c r="D11" s="36">
        <v>32.43</v>
      </c>
      <c r="E11" s="36">
        <v>32.43</v>
      </c>
      <c r="F11" s="36">
        <v>32.43</v>
      </c>
      <c r="G11" s="36">
        <v>32.43</v>
      </c>
      <c r="H11" s="36">
        <v>32.43</v>
      </c>
      <c r="I11" s="36">
        <v>32.43</v>
      </c>
      <c r="J11" s="36">
        <v>32.43</v>
      </c>
      <c r="K11" s="36">
        <v>32.43</v>
      </c>
      <c r="L11" s="36">
        <v>25.58</v>
      </c>
    </row>
    <row r="12" spans="1:12" ht="14.25" customHeight="1" x14ac:dyDescent="0.3">
      <c r="A12" s="36"/>
      <c r="B12" s="36" t="s">
        <v>889</v>
      </c>
      <c r="C12" s="36">
        <v>91.65</v>
      </c>
      <c r="D12" s="36">
        <v>91.65</v>
      </c>
      <c r="E12" s="36">
        <v>109.27</v>
      </c>
      <c r="F12" s="36">
        <v>109.27</v>
      </c>
      <c r="G12" s="36">
        <v>109.27</v>
      </c>
      <c r="H12" s="36">
        <v>109.26</v>
      </c>
      <c r="I12" s="36">
        <v>109.26</v>
      </c>
      <c r="J12" s="36">
        <v>109.26</v>
      </c>
      <c r="K12" s="36">
        <v>109.26</v>
      </c>
      <c r="L12" s="36">
        <v>109.27</v>
      </c>
    </row>
    <row r="13" spans="1:12" ht="14.25" customHeight="1" x14ac:dyDescent="0.3">
      <c r="A13" s="36"/>
      <c r="B13" s="36"/>
      <c r="C13" s="36"/>
      <c r="D13" s="36"/>
      <c r="E13" s="36"/>
      <c r="F13" s="36"/>
      <c r="G13" s="36"/>
      <c r="H13" s="36"/>
      <c r="I13" s="36"/>
      <c r="J13" s="36"/>
      <c r="K13" s="36"/>
      <c r="L13" s="36"/>
    </row>
    <row r="14" spans="1:12" ht="14.25" customHeight="1" x14ac:dyDescent="0.3">
      <c r="A14" s="36"/>
      <c r="B14" s="36" t="s">
        <v>890</v>
      </c>
      <c r="C14" s="36"/>
      <c r="D14" s="36"/>
      <c r="E14" s="36"/>
      <c r="F14" s="36"/>
      <c r="G14" s="36"/>
      <c r="H14" s="36"/>
      <c r="I14" s="36"/>
      <c r="J14" s="36"/>
      <c r="K14" s="36"/>
      <c r="L14" s="73">
        <v>0</v>
      </c>
    </row>
    <row r="15" spans="1:12" ht="14.25" customHeight="1" x14ac:dyDescent="0.3">
      <c r="A15" s="36"/>
      <c r="B15" s="36"/>
      <c r="C15" s="36"/>
      <c r="D15" s="36"/>
      <c r="E15" s="36"/>
      <c r="F15" s="36"/>
      <c r="G15" s="36"/>
      <c r="H15" s="36"/>
      <c r="I15" s="36"/>
      <c r="J15" s="36"/>
      <c r="K15" s="36"/>
      <c r="L15" s="36"/>
    </row>
    <row r="16" spans="1:12" ht="14.25" customHeight="1" x14ac:dyDescent="0.3">
      <c r="A16" s="36"/>
      <c r="B16" s="36" t="s">
        <v>891</v>
      </c>
      <c r="C16" s="36">
        <v>-6.11</v>
      </c>
      <c r="D16" s="36">
        <v>-9.1199999999999992</v>
      </c>
      <c r="E16" s="36">
        <v>110.03</v>
      </c>
      <c r="F16" s="36">
        <v>150.16</v>
      </c>
      <c r="G16" s="36">
        <v>138.35</v>
      </c>
      <c r="H16" s="36">
        <v>196.19</v>
      </c>
      <c r="I16" s="36">
        <v>434.96</v>
      </c>
      <c r="J16" s="36">
        <v>599.87</v>
      </c>
      <c r="K16" s="36">
        <v>699.34</v>
      </c>
      <c r="L16" s="36">
        <v>662.75</v>
      </c>
    </row>
    <row r="17" spans="1:12" ht="14.25" customHeight="1" x14ac:dyDescent="0.3">
      <c r="A17" s="36"/>
      <c r="B17" s="36" t="s">
        <v>892</v>
      </c>
      <c r="C17" s="36">
        <v>-32.11</v>
      </c>
      <c r="D17" s="36">
        <v>-9.08</v>
      </c>
      <c r="E17" s="36">
        <v>48.09</v>
      </c>
      <c r="F17" s="36">
        <v>90.44</v>
      </c>
      <c r="G17" s="36">
        <v>80.930000000000007</v>
      </c>
      <c r="H17" s="36">
        <v>140.94999999999999</v>
      </c>
      <c r="I17" s="36">
        <v>382.25</v>
      </c>
      <c r="J17" s="36">
        <v>549.72</v>
      </c>
      <c r="K17" s="36">
        <v>651.66</v>
      </c>
      <c r="L17" s="36">
        <v>610.27</v>
      </c>
    </row>
    <row r="18" spans="1:12" ht="14.25" customHeight="1" x14ac:dyDescent="0.3">
      <c r="A18" s="36"/>
      <c r="B18" s="36" t="s">
        <v>893</v>
      </c>
      <c r="C18" s="36"/>
      <c r="D18" s="36"/>
      <c r="E18" s="36"/>
      <c r="F18" s="36"/>
      <c r="G18" s="36"/>
      <c r="H18" s="36"/>
      <c r="I18" s="36"/>
      <c r="J18" s="36"/>
      <c r="K18" s="36"/>
      <c r="L18" s="36"/>
    </row>
    <row r="19" spans="1:12" ht="14.25" customHeight="1" x14ac:dyDescent="0.3">
      <c r="A19" s="36"/>
      <c r="B19" s="36" t="s">
        <v>894</v>
      </c>
      <c r="C19" s="36">
        <v>-32.11</v>
      </c>
      <c r="D19" s="36">
        <v>-9.08</v>
      </c>
      <c r="E19" s="36">
        <v>48.09</v>
      </c>
      <c r="F19" s="36">
        <v>90.44</v>
      </c>
      <c r="G19" s="36">
        <v>80.930000000000007</v>
      </c>
      <c r="H19" s="36">
        <v>140.94999999999999</v>
      </c>
      <c r="I19" s="36">
        <v>382.25</v>
      </c>
      <c r="J19" s="36">
        <v>549.72</v>
      </c>
      <c r="K19" s="36">
        <v>651.66</v>
      </c>
      <c r="L19" s="36">
        <v>610.27</v>
      </c>
    </row>
    <row r="20" spans="1:12" ht="14.25" customHeight="1" x14ac:dyDescent="0.3">
      <c r="A20" s="36"/>
      <c r="B20" s="36" t="s">
        <v>895</v>
      </c>
      <c r="C20" s="36">
        <v>26</v>
      </c>
      <c r="D20" s="36">
        <v>-0.04</v>
      </c>
      <c r="E20" s="36">
        <v>-0.05</v>
      </c>
      <c r="F20" s="36">
        <v>-0.03</v>
      </c>
      <c r="G20" s="36">
        <v>-0.09</v>
      </c>
      <c r="H20" s="36">
        <v>-0.04</v>
      </c>
      <c r="I20" s="36"/>
      <c r="J20" s="36"/>
      <c r="K20" s="36">
        <v>0.1</v>
      </c>
      <c r="L20" s="36">
        <v>52.48</v>
      </c>
    </row>
    <row r="21" spans="1:12" ht="14.25" customHeight="1" x14ac:dyDescent="0.3">
      <c r="A21" s="36"/>
      <c r="B21" s="36" t="s">
        <v>896</v>
      </c>
      <c r="C21" s="36"/>
      <c r="D21" s="36"/>
      <c r="E21" s="36"/>
      <c r="F21" s="36"/>
      <c r="G21" s="36"/>
      <c r="H21" s="36"/>
      <c r="I21" s="36"/>
      <c r="J21" s="36"/>
      <c r="K21" s="36"/>
      <c r="L21" s="36"/>
    </row>
    <row r="22" spans="1:12" ht="14.25" customHeight="1" x14ac:dyDescent="0.3">
      <c r="A22" s="36"/>
      <c r="B22" s="36" t="s">
        <v>897</v>
      </c>
      <c r="C22" s="36"/>
      <c r="D22" s="36"/>
      <c r="E22" s="36"/>
      <c r="F22" s="36"/>
      <c r="G22" s="36"/>
      <c r="H22" s="36"/>
      <c r="I22" s="36"/>
      <c r="J22" s="36"/>
      <c r="K22" s="36"/>
      <c r="L22" s="36"/>
    </row>
    <row r="23" spans="1:12" ht="14.25" customHeight="1" x14ac:dyDescent="0.3">
      <c r="A23" s="36"/>
      <c r="B23" s="36" t="s">
        <v>898</v>
      </c>
      <c r="C23" s="36"/>
      <c r="D23" s="36"/>
      <c r="E23" s="36"/>
      <c r="F23" s="36"/>
      <c r="G23" s="36"/>
      <c r="H23" s="36"/>
      <c r="I23" s="36"/>
      <c r="J23" s="36"/>
      <c r="K23" s="36"/>
      <c r="L23" s="36"/>
    </row>
    <row r="24" spans="1:12" ht="14.25" customHeight="1" x14ac:dyDescent="0.3">
      <c r="A24" s="36"/>
      <c r="B24" s="36" t="s">
        <v>899</v>
      </c>
      <c r="C24" s="36"/>
      <c r="D24" s="36"/>
      <c r="E24" s="36"/>
      <c r="F24" s="36"/>
      <c r="G24" s="36"/>
      <c r="H24" s="36"/>
      <c r="I24" s="36"/>
      <c r="J24" s="36"/>
      <c r="K24" s="36"/>
      <c r="L24" s="36"/>
    </row>
    <row r="25" spans="1:12" ht="14.25" customHeight="1" x14ac:dyDescent="0.3">
      <c r="A25" s="36"/>
      <c r="B25" s="36"/>
      <c r="C25" s="36"/>
      <c r="D25" s="36"/>
      <c r="E25" s="36"/>
      <c r="F25" s="36"/>
      <c r="G25" s="36"/>
      <c r="H25" s="36"/>
      <c r="I25" s="36"/>
      <c r="J25" s="36"/>
      <c r="K25" s="36"/>
      <c r="L25" s="36"/>
    </row>
    <row r="26" spans="1:12" ht="14.25" customHeight="1" x14ac:dyDescent="0.3">
      <c r="A26" s="36"/>
      <c r="B26" s="36" t="s">
        <v>900</v>
      </c>
      <c r="C26" s="36"/>
      <c r="D26" s="36">
        <v>488.17</v>
      </c>
      <c r="E26" s="36">
        <v>495.52</v>
      </c>
      <c r="F26" s="36">
        <v>408.05</v>
      </c>
      <c r="G26" s="36">
        <v>391.51</v>
      </c>
      <c r="H26" s="36">
        <v>387.8</v>
      </c>
      <c r="I26" s="36">
        <v>502.23</v>
      </c>
      <c r="J26" s="36">
        <v>324.02999999999997</v>
      </c>
      <c r="K26" s="36">
        <v>305.25</v>
      </c>
      <c r="L26" s="36">
        <v>279.58</v>
      </c>
    </row>
    <row r="27" spans="1:12" ht="14.25" customHeight="1" x14ac:dyDescent="0.3">
      <c r="A27" s="36"/>
      <c r="B27" s="36" t="s">
        <v>901</v>
      </c>
      <c r="C27" s="36"/>
      <c r="D27" s="36">
        <v>488.17</v>
      </c>
      <c r="E27" s="36">
        <v>495.52</v>
      </c>
      <c r="F27" s="36">
        <v>408.05</v>
      </c>
      <c r="G27" s="36">
        <v>391.51</v>
      </c>
      <c r="H27" s="36">
        <v>387.8</v>
      </c>
      <c r="I27" s="36">
        <v>502.23</v>
      </c>
      <c r="J27" s="36">
        <v>327.35000000000002</v>
      </c>
      <c r="K27" s="36">
        <v>324.01</v>
      </c>
      <c r="L27" s="36">
        <v>436.82</v>
      </c>
    </row>
    <row r="28" spans="1:12" ht="14.25" customHeight="1" x14ac:dyDescent="0.3">
      <c r="A28" s="36"/>
      <c r="B28" s="36" t="s">
        <v>902</v>
      </c>
      <c r="C28" s="36"/>
      <c r="D28" s="36">
        <v>488.17</v>
      </c>
      <c r="E28" s="36">
        <v>495.52</v>
      </c>
      <c r="F28" s="36">
        <v>408.05</v>
      </c>
      <c r="G28" s="36">
        <v>391.51</v>
      </c>
      <c r="H28" s="36">
        <v>387.8</v>
      </c>
      <c r="I28" s="36">
        <v>502.23</v>
      </c>
      <c r="J28" s="36">
        <v>327.35000000000002</v>
      </c>
      <c r="K28" s="36">
        <v>324.01</v>
      </c>
      <c r="L28" s="36">
        <v>436.82</v>
      </c>
    </row>
    <row r="29" spans="1:12" ht="14.25" customHeight="1" x14ac:dyDescent="0.3">
      <c r="A29" s="36"/>
      <c r="B29" s="36" t="s">
        <v>903</v>
      </c>
      <c r="C29" s="36"/>
      <c r="D29" s="36"/>
      <c r="E29" s="36"/>
      <c r="F29" s="36"/>
      <c r="G29" s="36"/>
      <c r="H29" s="36"/>
      <c r="I29" s="36"/>
      <c r="J29" s="36"/>
      <c r="K29" s="36"/>
      <c r="L29" s="73">
        <v>0</v>
      </c>
    </row>
    <row r="30" spans="1:12" ht="14.25" customHeight="1" x14ac:dyDescent="0.3">
      <c r="A30" s="36"/>
      <c r="B30" s="36" t="s">
        <v>904</v>
      </c>
      <c r="C30" s="36"/>
      <c r="D30" s="36"/>
      <c r="E30" s="36"/>
      <c r="F30" s="36"/>
      <c r="G30" s="36"/>
      <c r="H30" s="36"/>
      <c r="I30" s="36"/>
      <c r="J30" s="36"/>
      <c r="K30" s="36"/>
      <c r="L30" s="73">
        <v>0</v>
      </c>
    </row>
    <row r="31" spans="1:12" ht="14.25" customHeight="1" x14ac:dyDescent="0.3">
      <c r="A31" s="36"/>
      <c r="B31" s="36" t="s">
        <v>905</v>
      </c>
      <c r="C31" s="36"/>
      <c r="D31" s="36"/>
      <c r="E31" s="36"/>
      <c r="F31" s="36"/>
      <c r="G31" s="36"/>
      <c r="H31" s="36"/>
      <c r="I31" s="36"/>
      <c r="J31" s="36"/>
      <c r="K31" s="36"/>
      <c r="L31" s="73">
        <v>0</v>
      </c>
    </row>
    <row r="32" spans="1:12" ht="14.25" customHeight="1" x14ac:dyDescent="0.3">
      <c r="A32" s="36"/>
      <c r="B32" s="36" t="s">
        <v>906</v>
      </c>
      <c r="C32" s="36"/>
      <c r="D32" s="36"/>
      <c r="E32" s="36"/>
      <c r="F32" s="36"/>
      <c r="G32" s="36"/>
      <c r="H32" s="36"/>
      <c r="I32" s="36"/>
      <c r="J32" s="36"/>
      <c r="K32" s="36"/>
      <c r="L32" s="73">
        <v>0</v>
      </c>
    </row>
    <row r="33" spans="1:12" ht="14.25" customHeight="1" x14ac:dyDescent="0.3">
      <c r="A33" s="36"/>
      <c r="B33" s="36" t="s">
        <v>907</v>
      </c>
      <c r="C33" s="36"/>
      <c r="D33" s="36"/>
      <c r="E33" s="36"/>
      <c r="F33" s="36"/>
      <c r="G33" s="36"/>
      <c r="H33" s="36"/>
      <c r="I33" s="36"/>
      <c r="J33" s="36">
        <v>3.32</v>
      </c>
      <c r="K33" s="36">
        <v>18.760000000000002</v>
      </c>
      <c r="L33" s="36">
        <v>157.24</v>
      </c>
    </row>
    <row r="34" spans="1:12" ht="14.25" customHeight="1" x14ac:dyDescent="0.3">
      <c r="A34" s="36"/>
      <c r="B34" s="36"/>
      <c r="C34" s="36"/>
      <c r="D34" s="36"/>
      <c r="E34" s="36"/>
      <c r="F34" s="36"/>
      <c r="G34" s="36"/>
      <c r="H34" s="36"/>
      <c r="I34" s="36"/>
      <c r="J34" s="36"/>
      <c r="K34" s="36"/>
      <c r="L34" s="36"/>
    </row>
    <row r="35" spans="1:12" ht="14.25" customHeight="1" x14ac:dyDescent="0.3">
      <c r="A35" s="36"/>
      <c r="B35" s="36" t="s">
        <v>908</v>
      </c>
      <c r="C35" s="36"/>
      <c r="D35" s="36"/>
      <c r="E35" s="36">
        <v>33.78</v>
      </c>
      <c r="F35" s="36">
        <v>44.17</v>
      </c>
      <c r="G35" s="36">
        <v>42.19</v>
      </c>
      <c r="H35" s="36">
        <v>53.07</v>
      </c>
      <c r="I35" s="36">
        <v>64.12</v>
      </c>
      <c r="J35" s="36">
        <v>66.09</v>
      </c>
      <c r="K35" s="36">
        <v>66.16</v>
      </c>
      <c r="L35" s="36">
        <v>72.900000000000006</v>
      </c>
    </row>
    <row r="36" spans="1:12" ht="14.25" customHeight="1" x14ac:dyDescent="0.3">
      <c r="A36" s="36"/>
      <c r="B36" s="36" t="s">
        <v>909</v>
      </c>
      <c r="C36" s="36"/>
      <c r="D36" s="36"/>
      <c r="E36" s="36"/>
      <c r="F36" s="36"/>
      <c r="G36" s="36"/>
      <c r="H36" s="36"/>
      <c r="I36" s="36"/>
      <c r="J36" s="36"/>
      <c r="K36" s="36"/>
      <c r="L36" s="73">
        <v>0</v>
      </c>
    </row>
    <row r="37" spans="1:12" ht="14.25" customHeight="1" x14ac:dyDescent="0.3">
      <c r="A37" s="36"/>
      <c r="B37" s="36" t="s">
        <v>910</v>
      </c>
      <c r="C37" s="36">
        <v>0.35</v>
      </c>
      <c r="D37" s="36">
        <v>0.69</v>
      </c>
      <c r="E37" s="36">
        <v>0.97</v>
      </c>
      <c r="F37" s="36">
        <v>1.05</v>
      </c>
      <c r="G37" s="36">
        <v>1.35</v>
      </c>
      <c r="H37" s="36">
        <v>1.44</v>
      </c>
      <c r="I37" s="36">
        <v>1.72</v>
      </c>
      <c r="J37" s="36">
        <v>1.82</v>
      </c>
      <c r="K37" s="36">
        <v>2.27</v>
      </c>
      <c r="L37" s="36">
        <v>2.5499999999999998</v>
      </c>
    </row>
    <row r="38" spans="1:12" ht="14.25" customHeight="1" x14ac:dyDescent="0.3">
      <c r="A38" s="36"/>
      <c r="B38" s="36"/>
      <c r="C38" s="36"/>
      <c r="D38" s="36"/>
      <c r="E38" s="36"/>
      <c r="F38" s="36"/>
      <c r="G38" s="36"/>
      <c r="H38" s="36"/>
      <c r="I38" s="36"/>
      <c r="J38" s="36"/>
      <c r="K38" s="36"/>
      <c r="L38" s="36"/>
    </row>
    <row r="39" spans="1:12" ht="14.25" customHeight="1" x14ac:dyDescent="0.3">
      <c r="A39" s="36"/>
      <c r="B39" s="36" t="s">
        <v>911</v>
      </c>
      <c r="C39" s="36">
        <v>526.08000000000004</v>
      </c>
      <c r="D39" s="36">
        <v>331.37</v>
      </c>
      <c r="E39" s="36">
        <v>69.13</v>
      </c>
      <c r="F39" s="36">
        <v>108.14</v>
      </c>
      <c r="G39" s="36">
        <v>108.54</v>
      </c>
      <c r="H39" s="36">
        <v>47.16</v>
      </c>
      <c r="I39" s="36">
        <v>470.83</v>
      </c>
      <c r="J39" s="36">
        <v>357.55</v>
      </c>
      <c r="K39" s="36">
        <v>660.85</v>
      </c>
      <c r="L39" s="36">
        <v>724.84</v>
      </c>
    </row>
    <row r="40" spans="1:12" ht="14.25" customHeight="1" x14ac:dyDescent="0.3">
      <c r="A40" s="36"/>
      <c r="B40" s="36" t="s">
        <v>912</v>
      </c>
      <c r="C40" s="36">
        <v>4.01</v>
      </c>
      <c r="D40" s="36">
        <v>81.78</v>
      </c>
      <c r="E40" s="36"/>
      <c r="F40" s="36"/>
      <c r="G40" s="36"/>
      <c r="H40" s="36"/>
      <c r="I40" s="36">
        <v>4.28</v>
      </c>
      <c r="J40" s="36">
        <v>33.65</v>
      </c>
      <c r="K40" s="36">
        <v>0.81</v>
      </c>
      <c r="L40" s="36">
        <v>109</v>
      </c>
    </row>
    <row r="41" spans="1:12" ht="14.25" customHeight="1" x14ac:dyDescent="0.3">
      <c r="A41" s="36"/>
      <c r="B41" s="36" t="s">
        <v>913</v>
      </c>
      <c r="C41" s="36">
        <v>132.43</v>
      </c>
      <c r="D41" s="36">
        <v>236.51</v>
      </c>
      <c r="E41" s="36">
        <v>49.75</v>
      </c>
      <c r="F41" s="36">
        <v>65.16</v>
      </c>
      <c r="G41" s="36">
        <v>75.959999999999994</v>
      </c>
      <c r="H41" s="36">
        <v>10.81</v>
      </c>
      <c r="I41" s="36">
        <v>357.53</v>
      </c>
      <c r="J41" s="36">
        <v>298.68</v>
      </c>
      <c r="K41" s="36">
        <v>620.08000000000004</v>
      </c>
      <c r="L41" s="36">
        <v>369.13</v>
      </c>
    </row>
    <row r="42" spans="1:12" ht="14.25" customHeight="1" x14ac:dyDescent="0.3">
      <c r="A42" s="36"/>
      <c r="B42" s="36"/>
      <c r="C42" s="36"/>
      <c r="D42" s="36"/>
      <c r="E42" s="36"/>
      <c r="F42" s="36"/>
      <c r="G42" s="36"/>
      <c r="H42" s="36"/>
      <c r="I42" s="36"/>
      <c r="J42" s="36"/>
      <c r="K42" s="36"/>
      <c r="L42" s="36"/>
    </row>
    <row r="43" spans="1:12" ht="14.25" customHeight="1" x14ac:dyDescent="0.3">
      <c r="A43" s="36"/>
      <c r="B43" s="36" t="s">
        <v>777</v>
      </c>
      <c r="C43" s="36">
        <v>612.02</v>
      </c>
      <c r="D43" s="36">
        <v>952.81</v>
      </c>
      <c r="E43" s="36">
        <v>851.13</v>
      </c>
      <c r="F43" s="36">
        <v>853.27</v>
      </c>
      <c r="G43" s="36">
        <v>823.64</v>
      </c>
      <c r="H43" s="36">
        <v>827.35</v>
      </c>
      <c r="I43" s="42">
        <v>1615.55</v>
      </c>
      <c r="J43" s="42">
        <v>1491.05</v>
      </c>
      <c r="K43" s="42">
        <v>1875.56</v>
      </c>
      <c r="L43" s="42">
        <v>1877.46</v>
      </c>
    </row>
    <row r="44" spans="1:12" ht="14.25" customHeight="1" x14ac:dyDescent="0.3">
      <c r="A44" s="36"/>
      <c r="B44" s="36"/>
      <c r="C44" s="36"/>
      <c r="D44" s="36"/>
      <c r="E44" s="36"/>
      <c r="F44" s="36"/>
      <c r="G44" s="36"/>
      <c r="H44" s="36"/>
      <c r="I44" s="36"/>
      <c r="J44" s="36"/>
      <c r="K44" s="36"/>
      <c r="L44" s="36"/>
    </row>
    <row r="45" spans="1:12" ht="14.25" customHeight="1" x14ac:dyDescent="0.3">
      <c r="A45" s="36"/>
      <c r="B45" s="36" t="s">
        <v>914</v>
      </c>
      <c r="C45" s="36">
        <v>459.69</v>
      </c>
      <c r="D45" s="36">
        <v>433.4</v>
      </c>
      <c r="E45" s="36">
        <v>504.27</v>
      </c>
      <c r="F45" s="36">
        <v>487.08</v>
      </c>
      <c r="G45" s="36">
        <v>500.49</v>
      </c>
      <c r="H45" s="36">
        <v>494.03</v>
      </c>
      <c r="I45" s="36">
        <v>493.2</v>
      </c>
      <c r="J45" s="36">
        <v>473.46</v>
      </c>
      <c r="K45" s="36">
        <v>461.01</v>
      </c>
      <c r="L45" s="36">
        <v>787.43</v>
      </c>
    </row>
    <row r="46" spans="1:12" ht="14.25" customHeight="1" x14ac:dyDescent="0.3">
      <c r="A46" s="36"/>
      <c r="B46" s="36" t="s">
        <v>915</v>
      </c>
      <c r="C46" s="36">
        <v>11.94</v>
      </c>
      <c r="D46" s="36">
        <v>11.88</v>
      </c>
      <c r="E46" s="36">
        <v>11.82</v>
      </c>
      <c r="F46" s="36">
        <v>11.76</v>
      </c>
      <c r="G46" s="36">
        <v>11.7</v>
      </c>
      <c r="H46" s="36">
        <v>11.67</v>
      </c>
      <c r="I46" s="36">
        <v>11.68</v>
      </c>
      <c r="J46" s="36">
        <v>11.66</v>
      </c>
      <c r="K46" s="36">
        <v>11.66</v>
      </c>
      <c r="L46" s="36">
        <v>11.66</v>
      </c>
    </row>
    <row r="47" spans="1:12" ht="14.25" customHeight="1" x14ac:dyDescent="0.3">
      <c r="A47" s="36"/>
      <c r="B47" s="36" t="s">
        <v>916</v>
      </c>
      <c r="C47" s="36">
        <v>49.01</v>
      </c>
      <c r="D47" s="36">
        <v>47.62</v>
      </c>
      <c r="E47" s="36">
        <v>49.12</v>
      </c>
      <c r="F47" s="36">
        <v>47.61</v>
      </c>
      <c r="G47" s="36">
        <v>47.09</v>
      </c>
      <c r="H47" s="36">
        <v>45.39</v>
      </c>
      <c r="I47" s="36">
        <v>62.96</v>
      </c>
      <c r="J47" s="36">
        <v>60.94</v>
      </c>
      <c r="K47" s="36">
        <v>60.37</v>
      </c>
      <c r="L47" s="36">
        <v>60.37</v>
      </c>
    </row>
    <row r="48" spans="1:12" ht="14.25" customHeight="1" x14ac:dyDescent="0.3">
      <c r="A48" s="36"/>
      <c r="B48" s="36" t="s">
        <v>917</v>
      </c>
      <c r="C48" s="36">
        <v>398.53</v>
      </c>
      <c r="D48" s="36">
        <v>373.06</v>
      </c>
      <c r="E48" s="36">
        <v>442.54</v>
      </c>
      <c r="F48" s="36">
        <v>426.96</v>
      </c>
      <c r="G48" s="36">
        <v>440.94</v>
      </c>
      <c r="H48" s="36">
        <v>436.29</v>
      </c>
      <c r="I48" s="36">
        <v>417.75</v>
      </c>
      <c r="J48" s="36">
        <v>399.15</v>
      </c>
      <c r="K48" s="36">
        <v>387.45</v>
      </c>
      <c r="L48" s="36">
        <v>715.4</v>
      </c>
    </row>
    <row r="49" spans="1:12" ht="14.25" customHeight="1" x14ac:dyDescent="0.3">
      <c r="A49" s="36"/>
      <c r="B49" s="36"/>
      <c r="C49" s="36"/>
      <c r="D49" s="36"/>
      <c r="E49" s="36"/>
      <c r="F49" s="36"/>
      <c r="G49" s="36"/>
      <c r="H49" s="36"/>
      <c r="I49" s="36"/>
      <c r="J49" s="36"/>
      <c r="K49" s="36"/>
      <c r="L49" s="36"/>
    </row>
    <row r="50" spans="1:12" ht="14.25" customHeight="1" x14ac:dyDescent="0.3">
      <c r="A50" s="36"/>
      <c r="B50" s="36" t="s">
        <v>918</v>
      </c>
      <c r="C50" s="36">
        <v>6.71</v>
      </c>
      <c r="D50" s="36">
        <v>3.03</v>
      </c>
      <c r="E50" s="36"/>
      <c r="F50" s="36">
        <v>16.649999999999999</v>
      </c>
      <c r="G50" s="36">
        <v>0.69</v>
      </c>
      <c r="H50" s="36">
        <v>0.17</v>
      </c>
      <c r="I50" s="36">
        <v>1.62</v>
      </c>
      <c r="J50" s="36">
        <v>159</v>
      </c>
      <c r="K50" s="36">
        <v>433.04</v>
      </c>
      <c r="L50" s="36">
        <v>178.59</v>
      </c>
    </row>
    <row r="51" spans="1:12" ht="14.25" customHeight="1" x14ac:dyDescent="0.3">
      <c r="A51" s="36"/>
      <c r="B51" s="36" t="s">
        <v>919</v>
      </c>
      <c r="C51" s="36"/>
      <c r="D51" s="36"/>
      <c r="E51" s="36"/>
      <c r="F51" s="36"/>
      <c r="G51" s="36"/>
      <c r="H51" s="36"/>
      <c r="I51" s="36"/>
      <c r="J51" s="36"/>
      <c r="K51" s="36"/>
      <c r="L51" s="73">
        <v>0</v>
      </c>
    </row>
    <row r="52" spans="1:12" ht="14.25" customHeight="1" x14ac:dyDescent="0.3">
      <c r="A52" s="36"/>
      <c r="B52" s="36"/>
      <c r="C52" s="36"/>
      <c r="D52" s="36"/>
      <c r="E52" s="36"/>
      <c r="F52" s="36"/>
      <c r="G52" s="36"/>
      <c r="H52" s="36"/>
      <c r="I52" s="36"/>
      <c r="J52" s="36"/>
      <c r="K52" s="36"/>
      <c r="L52" s="36"/>
    </row>
    <row r="53" spans="1:12" ht="14.25" customHeight="1" x14ac:dyDescent="0.3">
      <c r="A53" s="36"/>
      <c r="B53" s="36" t="s">
        <v>920</v>
      </c>
      <c r="C53" s="36"/>
      <c r="D53" s="36">
        <v>0.05</v>
      </c>
      <c r="E53" s="36">
        <v>0.06</v>
      </c>
      <c r="F53" s="36">
        <v>0.03</v>
      </c>
      <c r="G53" s="36">
        <v>0.02</v>
      </c>
      <c r="H53" s="36">
        <v>0.05</v>
      </c>
      <c r="I53" s="36">
        <v>0.14000000000000001</v>
      </c>
      <c r="J53" s="36">
        <v>0.25</v>
      </c>
      <c r="K53" s="36">
        <v>0.53</v>
      </c>
      <c r="L53" s="36">
        <v>0.45</v>
      </c>
    </row>
    <row r="54" spans="1:12" ht="14.25" customHeight="1" x14ac:dyDescent="0.3">
      <c r="A54" s="36"/>
      <c r="B54" s="36" t="s">
        <v>921</v>
      </c>
      <c r="C54" s="36"/>
      <c r="D54" s="36">
        <v>0.05</v>
      </c>
      <c r="E54" s="36">
        <v>0.06</v>
      </c>
      <c r="F54" s="36">
        <v>0.03</v>
      </c>
      <c r="G54" s="36">
        <v>0.02</v>
      </c>
      <c r="H54" s="36">
        <v>0.05</v>
      </c>
      <c r="I54" s="36">
        <v>0.14000000000000001</v>
      </c>
      <c r="J54" s="36">
        <v>0.25</v>
      </c>
      <c r="K54" s="36">
        <v>0.53</v>
      </c>
      <c r="L54" s="36">
        <v>0.45</v>
      </c>
    </row>
    <row r="55" spans="1:12" ht="14.25" customHeight="1" x14ac:dyDescent="0.3">
      <c r="A55" s="36"/>
      <c r="B55" s="36" t="s">
        <v>922</v>
      </c>
      <c r="C55" s="36"/>
      <c r="D55" s="36">
        <v>0</v>
      </c>
      <c r="E55" s="36">
        <v>0</v>
      </c>
      <c r="F55" s="36">
        <v>0</v>
      </c>
      <c r="G55" s="36">
        <v>0</v>
      </c>
      <c r="H55" s="36">
        <v>0</v>
      </c>
      <c r="I55" s="36">
        <v>0</v>
      </c>
      <c r="J55" s="36">
        <v>0</v>
      </c>
      <c r="K55" s="36">
        <v>0</v>
      </c>
      <c r="L55" s="36">
        <v>0</v>
      </c>
    </row>
    <row r="56" spans="1:12" ht="14.25" customHeight="1" x14ac:dyDescent="0.3">
      <c r="A56" s="36"/>
      <c r="B56" s="36"/>
      <c r="C56" s="36"/>
      <c r="D56" s="36"/>
      <c r="E56" s="36"/>
      <c r="F56" s="36"/>
      <c r="G56" s="36"/>
      <c r="H56" s="36"/>
      <c r="I56" s="36"/>
      <c r="J56" s="36"/>
      <c r="K56" s="36"/>
      <c r="L56" s="36"/>
    </row>
    <row r="57" spans="1:12" ht="14.25" customHeight="1" x14ac:dyDescent="0.3">
      <c r="A57" s="36"/>
      <c r="B57" s="36" t="s">
        <v>923</v>
      </c>
      <c r="C57" s="36"/>
      <c r="D57" s="36">
        <v>7.75</v>
      </c>
      <c r="E57" s="36"/>
      <c r="F57" s="36"/>
      <c r="G57" s="36"/>
      <c r="H57" s="36"/>
      <c r="I57" s="36">
        <v>119.06</v>
      </c>
      <c r="J57" s="36">
        <v>449.18</v>
      </c>
      <c r="K57" s="36">
        <v>268.43</v>
      </c>
      <c r="L57" s="36">
        <v>28.15</v>
      </c>
    </row>
    <row r="58" spans="1:12" ht="14.25" customHeight="1" x14ac:dyDescent="0.3">
      <c r="A58" s="36"/>
      <c r="B58" s="36" t="s">
        <v>924</v>
      </c>
      <c r="C58" s="36">
        <v>16.98</v>
      </c>
      <c r="D58" s="36">
        <v>7.76</v>
      </c>
      <c r="E58" s="36"/>
      <c r="F58" s="36"/>
      <c r="G58" s="36"/>
      <c r="H58" s="36"/>
      <c r="I58" s="36"/>
      <c r="J58" s="36"/>
      <c r="K58" s="36"/>
      <c r="L58" s="73">
        <v>0</v>
      </c>
    </row>
    <row r="59" spans="1:12" ht="14.25" customHeight="1" x14ac:dyDescent="0.3">
      <c r="A59" s="36"/>
      <c r="B59" s="36" t="s">
        <v>925</v>
      </c>
      <c r="C59" s="36"/>
      <c r="D59" s="36">
        <v>113.97</v>
      </c>
      <c r="E59" s="36">
        <v>116.3</v>
      </c>
      <c r="F59" s="36">
        <v>112.44</v>
      </c>
      <c r="G59" s="36">
        <v>109.34</v>
      </c>
      <c r="H59" s="36">
        <v>105.25</v>
      </c>
      <c r="I59" s="36">
        <v>6.23</v>
      </c>
      <c r="J59" s="36">
        <v>2.36</v>
      </c>
      <c r="K59" s="36">
        <v>1.25</v>
      </c>
      <c r="L59" s="36">
        <v>146.97999999999999</v>
      </c>
    </row>
    <row r="60" spans="1:12" ht="14.25" customHeight="1" x14ac:dyDescent="0.3">
      <c r="A60" s="36"/>
      <c r="B60" s="36"/>
      <c r="C60" s="36"/>
      <c r="D60" s="36"/>
      <c r="E60" s="36"/>
      <c r="F60" s="36"/>
      <c r="G60" s="36"/>
      <c r="H60" s="36"/>
      <c r="I60" s="36"/>
      <c r="J60" s="36"/>
      <c r="K60" s="36"/>
      <c r="L60" s="36"/>
    </row>
    <row r="61" spans="1:12" ht="14.25" customHeight="1" x14ac:dyDescent="0.3">
      <c r="A61" s="36"/>
      <c r="B61" s="36" t="s">
        <v>926</v>
      </c>
      <c r="C61" s="36">
        <v>128.63999999999999</v>
      </c>
      <c r="D61" s="36">
        <v>386.85</v>
      </c>
      <c r="E61" s="36">
        <v>230.5</v>
      </c>
      <c r="F61" s="36">
        <v>237.07</v>
      </c>
      <c r="G61" s="36">
        <v>213.1</v>
      </c>
      <c r="H61" s="36">
        <v>227.85</v>
      </c>
      <c r="I61" s="36">
        <v>995.3</v>
      </c>
      <c r="J61" s="36">
        <v>406.8</v>
      </c>
      <c r="K61" s="36">
        <v>711.3</v>
      </c>
      <c r="L61" s="36">
        <v>735.86</v>
      </c>
    </row>
    <row r="62" spans="1:12" ht="14.25" customHeight="1" x14ac:dyDescent="0.3">
      <c r="A62" s="36"/>
      <c r="B62" s="36" t="s">
        <v>927</v>
      </c>
      <c r="C62" s="36">
        <v>104.7</v>
      </c>
      <c r="D62" s="36">
        <v>156.52000000000001</v>
      </c>
      <c r="E62" s="36">
        <v>54.78</v>
      </c>
      <c r="F62" s="36">
        <v>140.43</v>
      </c>
      <c r="G62" s="36">
        <v>136.77000000000001</v>
      </c>
      <c r="H62" s="36">
        <v>99.85</v>
      </c>
      <c r="I62" s="36">
        <v>603.33000000000004</v>
      </c>
      <c r="J62" s="36">
        <v>284.14</v>
      </c>
      <c r="K62" s="36">
        <v>340.02</v>
      </c>
      <c r="L62" s="36">
        <v>321.39999999999998</v>
      </c>
    </row>
    <row r="63" spans="1:12" ht="14.25" customHeight="1" x14ac:dyDescent="0.3">
      <c r="A63" s="36"/>
      <c r="B63" s="36" t="s">
        <v>928</v>
      </c>
      <c r="C63" s="36">
        <v>18.190000000000001</v>
      </c>
      <c r="D63" s="36">
        <v>26.96</v>
      </c>
      <c r="E63" s="36">
        <v>34.299999999999997</v>
      </c>
      <c r="F63" s="36">
        <v>12.93</v>
      </c>
      <c r="G63" s="36">
        <v>8.6</v>
      </c>
      <c r="H63" s="36">
        <v>47.83</v>
      </c>
      <c r="I63" s="36">
        <v>108.87</v>
      </c>
      <c r="J63" s="36">
        <v>37.56</v>
      </c>
      <c r="K63" s="36">
        <v>76.88</v>
      </c>
      <c r="L63" s="36">
        <v>114.13</v>
      </c>
    </row>
    <row r="64" spans="1:12" ht="14.25" customHeight="1" x14ac:dyDescent="0.3">
      <c r="A64" s="36"/>
      <c r="B64" s="36" t="s">
        <v>929</v>
      </c>
      <c r="C64" s="36">
        <v>0.04</v>
      </c>
      <c r="D64" s="36">
        <v>11.91</v>
      </c>
      <c r="E64" s="36">
        <v>46.55</v>
      </c>
      <c r="F64" s="36">
        <v>25.19</v>
      </c>
      <c r="G64" s="36">
        <v>18.920000000000002</v>
      </c>
      <c r="H64" s="36">
        <v>48.52</v>
      </c>
      <c r="I64" s="36">
        <v>248.19</v>
      </c>
      <c r="J64" s="36">
        <v>11.14</v>
      </c>
      <c r="K64" s="36">
        <v>74.8</v>
      </c>
      <c r="L64" s="36">
        <v>210.18</v>
      </c>
    </row>
    <row r="65" spans="1:12" ht="14.25" customHeight="1" x14ac:dyDescent="0.3">
      <c r="A65" s="36"/>
      <c r="B65" s="36" t="s">
        <v>930</v>
      </c>
      <c r="C65" s="36"/>
      <c r="D65" s="36">
        <v>12.99</v>
      </c>
      <c r="E65" s="36">
        <v>24.64</v>
      </c>
      <c r="F65" s="36">
        <v>3.2</v>
      </c>
      <c r="G65" s="36"/>
      <c r="H65" s="36"/>
      <c r="I65" s="36"/>
      <c r="J65" s="36"/>
      <c r="K65" s="36">
        <v>131.29</v>
      </c>
      <c r="L65" s="36">
        <v>18.920000000000002</v>
      </c>
    </row>
    <row r="66" spans="1:12" ht="14.25" customHeight="1" x14ac:dyDescent="0.3">
      <c r="A66" s="36"/>
      <c r="B66" s="36" t="s">
        <v>931</v>
      </c>
      <c r="C66" s="36">
        <v>5.71</v>
      </c>
      <c r="D66" s="36">
        <v>18.47</v>
      </c>
      <c r="E66" s="36">
        <v>70.22</v>
      </c>
      <c r="F66" s="36">
        <v>55.26</v>
      </c>
      <c r="G66" s="36">
        <v>48.07</v>
      </c>
      <c r="H66" s="36">
        <v>29.77</v>
      </c>
      <c r="I66" s="36">
        <v>34.82</v>
      </c>
      <c r="J66" s="36">
        <v>67.849999999999994</v>
      </c>
      <c r="K66" s="36">
        <v>59.84</v>
      </c>
      <c r="L66" s="36">
        <v>71.239999999999995</v>
      </c>
    </row>
    <row r="67" spans="1:12" ht="14.25" customHeight="1" x14ac:dyDescent="0.3">
      <c r="A67" s="36"/>
      <c r="B67" s="36"/>
      <c r="C67" s="36"/>
      <c r="D67" s="36"/>
      <c r="E67" s="36"/>
      <c r="F67" s="36"/>
      <c r="G67" s="36"/>
      <c r="H67" s="36"/>
      <c r="I67" s="36"/>
      <c r="J67" s="36"/>
      <c r="K67" s="36"/>
      <c r="L67" s="36"/>
    </row>
    <row r="68" spans="1:12" ht="14.25" customHeight="1" x14ac:dyDescent="0.3">
      <c r="A68" s="36"/>
      <c r="B68" s="36" t="s">
        <v>881</v>
      </c>
      <c r="C68" s="36"/>
      <c r="D68" s="36"/>
      <c r="E68" s="36"/>
      <c r="F68" s="36"/>
      <c r="G68" s="36"/>
      <c r="H68" s="36"/>
      <c r="I68" s="36"/>
      <c r="J68" s="36"/>
      <c r="K68" s="36"/>
      <c r="L68" s="36"/>
    </row>
    <row r="69" spans="1:12" ht="14.25" customHeight="1" x14ac:dyDescent="0.3">
      <c r="A69" s="36"/>
      <c r="B69" s="36" t="s">
        <v>932</v>
      </c>
      <c r="C69" s="36">
        <v>459.69</v>
      </c>
      <c r="D69" s="36">
        <v>433.4</v>
      </c>
      <c r="E69" s="36">
        <v>442.28</v>
      </c>
      <c r="F69" s="36">
        <v>427.33</v>
      </c>
      <c r="G69" s="36">
        <v>442.98</v>
      </c>
      <c r="H69" s="36">
        <v>438.75</v>
      </c>
      <c r="I69" s="36">
        <v>440.49</v>
      </c>
      <c r="J69" s="36">
        <v>423.31</v>
      </c>
      <c r="K69" s="36">
        <v>413.43</v>
      </c>
      <c r="L69" s="36">
        <v>775.77</v>
      </c>
    </row>
    <row r="70" spans="1:12" ht="14.25" customHeight="1" x14ac:dyDescent="0.3">
      <c r="A70" s="36"/>
      <c r="B70" s="36" t="s">
        <v>933</v>
      </c>
      <c r="C70" s="36">
        <v>-44</v>
      </c>
      <c r="D70" s="36">
        <v>29.05</v>
      </c>
      <c r="E70" s="36">
        <v>68.650000000000006</v>
      </c>
      <c r="F70" s="36">
        <v>111.08</v>
      </c>
      <c r="G70" s="36">
        <v>101.57</v>
      </c>
      <c r="H70" s="36">
        <v>161.66999999999999</v>
      </c>
      <c r="I70" s="36">
        <v>403</v>
      </c>
      <c r="J70" s="36">
        <v>570.49</v>
      </c>
      <c r="K70" s="36">
        <v>672.53</v>
      </c>
      <c r="L70" s="36">
        <v>615.85</v>
      </c>
    </row>
    <row r="71" spans="1:12" ht="14.25" customHeight="1" x14ac:dyDescent="0.3">
      <c r="A71" s="36"/>
      <c r="B71" s="36" t="s">
        <v>934</v>
      </c>
      <c r="C71" s="36">
        <v>618.08000000000004</v>
      </c>
      <c r="D71" s="36">
        <v>911.88</v>
      </c>
      <c r="E71" s="36">
        <v>708.67</v>
      </c>
      <c r="F71" s="36">
        <v>670.68</v>
      </c>
      <c r="G71" s="36">
        <v>652.86</v>
      </c>
      <c r="H71" s="36">
        <v>598.73</v>
      </c>
      <c r="I71" s="42">
        <v>1148.1600000000001</v>
      </c>
      <c r="J71" s="36">
        <v>858.75</v>
      </c>
      <c r="K71" s="42">
        <v>1143.79</v>
      </c>
      <c r="L71" s="42">
        <v>1189.1300000000001</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5A5A5"/>
  </sheetPr>
  <dimension ref="A1:L31"/>
  <sheetViews>
    <sheetView showGridLines="0" zoomScale="82" zoomScaleNormal="82" workbookViewId="0">
      <selection activeCell="L27" sqref="L27"/>
    </sheetView>
  </sheetViews>
  <sheetFormatPr defaultColWidth="8.6640625" defaultRowHeight="14.4" x14ac:dyDescent="0.3"/>
  <cols>
    <col min="2" max="2" width="60.33203125" customWidth="1"/>
    <col min="3" max="12" width="14.77734375" customWidth="1"/>
  </cols>
  <sheetData>
    <row r="1" spans="1:12" ht="24" customHeight="1" x14ac:dyDescent="0.3">
      <c r="A1" s="665" t="s">
        <v>1266</v>
      </c>
      <c r="B1" s="79"/>
      <c r="C1" s="79"/>
      <c r="D1" s="79"/>
      <c r="E1" s="79"/>
      <c r="F1" s="79"/>
      <c r="G1" s="79"/>
      <c r="H1" s="79"/>
      <c r="I1" s="79"/>
      <c r="J1" s="79"/>
      <c r="K1" s="79"/>
      <c r="L1" s="79"/>
    </row>
    <row r="2" spans="1:12" ht="14.25" customHeight="1" x14ac:dyDescent="0.3">
      <c r="A2" s="60"/>
      <c r="B2" s="60" t="s">
        <v>749</v>
      </c>
      <c r="C2" s="60"/>
      <c r="D2" s="60"/>
      <c r="E2" s="60"/>
      <c r="F2" s="60"/>
      <c r="G2" s="60"/>
      <c r="H2" s="60"/>
      <c r="I2" s="60"/>
      <c r="J2" s="60"/>
      <c r="K2" s="60"/>
      <c r="L2" s="60"/>
    </row>
    <row r="3" spans="1:12" ht="14.25" customHeight="1" x14ac:dyDescent="0.3">
      <c r="A3" s="78"/>
      <c r="B3" s="78" t="s">
        <v>935</v>
      </c>
      <c r="C3" s="78"/>
      <c r="D3" s="78"/>
      <c r="E3" s="78"/>
      <c r="F3" s="78"/>
      <c r="G3" s="78"/>
      <c r="H3" s="78"/>
      <c r="I3" s="78"/>
      <c r="J3" s="78"/>
      <c r="K3" s="78"/>
      <c r="L3" s="78"/>
    </row>
    <row r="4" spans="1:12" ht="14.25" customHeight="1" x14ac:dyDescent="0.3">
      <c r="A4" s="165"/>
      <c r="B4" s="77"/>
      <c r="C4" s="660" t="s">
        <v>1258</v>
      </c>
      <c r="D4" s="660" t="s">
        <v>1259</v>
      </c>
      <c r="E4" s="660" t="s">
        <v>1260</v>
      </c>
      <c r="F4" s="660" t="s">
        <v>1261</v>
      </c>
      <c r="G4" s="660" t="s">
        <v>1262</v>
      </c>
      <c r="H4" s="660" t="s">
        <v>1263</v>
      </c>
      <c r="I4" s="660" t="s">
        <v>1264</v>
      </c>
      <c r="J4" s="660" t="s">
        <v>1265</v>
      </c>
      <c r="K4" s="660" t="s">
        <v>144</v>
      </c>
      <c r="L4" s="660" t="s">
        <v>145</v>
      </c>
    </row>
    <row r="5" spans="1:12" ht="14.25" customHeight="1" x14ac:dyDescent="0.3">
      <c r="A5" s="661"/>
      <c r="B5" s="662"/>
      <c r="C5" s="662" t="s">
        <v>751</v>
      </c>
      <c r="D5" s="662" t="s">
        <v>751</v>
      </c>
      <c r="E5" s="662" t="s">
        <v>751</v>
      </c>
      <c r="F5" s="662" t="s">
        <v>751</v>
      </c>
      <c r="G5" s="662" t="s">
        <v>751</v>
      </c>
      <c r="H5" s="662" t="s">
        <v>751</v>
      </c>
      <c r="I5" s="662" t="s">
        <v>751</v>
      </c>
      <c r="J5" s="662" t="s">
        <v>751</v>
      </c>
      <c r="K5" s="662" t="s">
        <v>751</v>
      </c>
      <c r="L5" s="662" t="s">
        <v>751</v>
      </c>
    </row>
    <row r="6" spans="1:12" ht="14.25" customHeight="1" x14ac:dyDescent="0.3">
      <c r="A6" s="663"/>
      <c r="B6" s="664"/>
      <c r="C6" s="664" t="s">
        <v>752</v>
      </c>
      <c r="D6" s="664" t="s">
        <v>752</v>
      </c>
      <c r="E6" s="664" t="s">
        <v>752</v>
      </c>
      <c r="F6" s="664" t="s">
        <v>752</v>
      </c>
      <c r="G6" s="664" t="s">
        <v>752</v>
      </c>
      <c r="H6" s="664" t="s">
        <v>752</v>
      </c>
      <c r="I6" s="664" t="s">
        <v>752</v>
      </c>
      <c r="J6" s="664" t="s">
        <v>752</v>
      </c>
      <c r="K6" s="664" t="s">
        <v>752</v>
      </c>
      <c r="L6" s="664" t="s">
        <v>752</v>
      </c>
    </row>
    <row r="7" spans="1:12" ht="14.25" customHeight="1" x14ac:dyDescent="0.3">
      <c r="A7" s="36"/>
      <c r="B7" s="36" t="s">
        <v>218</v>
      </c>
      <c r="C7" s="36"/>
      <c r="D7" s="36"/>
      <c r="E7" s="36"/>
      <c r="F7" s="36"/>
      <c r="G7" s="36"/>
      <c r="H7" s="36"/>
      <c r="I7" s="36"/>
      <c r="J7" s="36"/>
      <c r="K7" s="36"/>
      <c r="L7" s="36"/>
    </row>
    <row r="8" spans="1:12" ht="14.25" customHeight="1" x14ac:dyDescent="0.3">
      <c r="A8" s="36"/>
      <c r="B8" s="36" t="s">
        <v>936</v>
      </c>
      <c r="C8" s="36">
        <v>40.39</v>
      </c>
      <c r="D8" s="36">
        <v>-146.76</v>
      </c>
      <c r="E8" s="36">
        <v>187.1</v>
      </c>
      <c r="F8" s="36">
        <v>98.02</v>
      </c>
      <c r="G8" s="36">
        <v>78.11</v>
      </c>
      <c r="H8" s="36">
        <v>97.1</v>
      </c>
      <c r="I8" s="36">
        <v>163.51</v>
      </c>
      <c r="J8" s="36">
        <v>70.66</v>
      </c>
      <c r="K8" s="36">
        <v>422.08</v>
      </c>
      <c r="L8" s="36">
        <v>194</v>
      </c>
    </row>
    <row r="9" spans="1:12" ht="14.25" customHeight="1" x14ac:dyDescent="0.3">
      <c r="A9" s="36"/>
      <c r="B9" s="36" t="s">
        <v>937</v>
      </c>
      <c r="C9" s="36">
        <v>-49.04</v>
      </c>
      <c r="D9" s="36">
        <v>37.03</v>
      </c>
      <c r="E9" s="36">
        <v>83.17</v>
      </c>
      <c r="F9" s="36">
        <v>64.48</v>
      </c>
      <c r="G9" s="36">
        <v>-12.83</v>
      </c>
      <c r="H9" s="36">
        <v>82.96</v>
      </c>
      <c r="I9" s="36">
        <v>325.64</v>
      </c>
      <c r="J9" s="36">
        <v>219.58</v>
      </c>
      <c r="K9" s="36">
        <v>142.41999999999999</v>
      </c>
      <c r="L9" s="36">
        <v>154.63999999999999</v>
      </c>
    </row>
    <row r="10" spans="1:12" ht="14.25" customHeight="1" x14ac:dyDescent="0.3">
      <c r="A10" s="36"/>
      <c r="B10" s="36" t="s">
        <v>938</v>
      </c>
      <c r="C10" s="36">
        <v>38.42</v>
      </c>
      <c r="D10" s="36">
        <v>82.36</v>
      </c>
      <c r="E10" s="36">
        <v>95.83</v>
      </c>
      <c r="F10" s="36">
        <v>70.37</v>
      </c>
      <c r="G10" s="36">
        <v>70.959999999999994</v>
      </c>
      <c r="H10" s="36">
        <v>68.25</v>
      </c>
      <c r="I10" s="36">
        <v>56.37</v>
      </c>
      <c r="J10" s="36">
        <v>54.65</v>
      </c>
      <c r="K10" s="36">
        <v>61.08</v>
      </c>
      <c r="L10" s="36">
        <v>64.489999999999995</v>
      </c>
    </row>
    <row r="11" spans="1:12" ht="14.25" customHeight="1" x14ac:dyDescent="0.3">
      <c r="A11" s="36"/>
      <c r="B11" s="36" t="s">
        <v>939</v>
      </c>
      <c r="C11" s="36"/>
      <c r="D11" s="36">
        <v>4.22</v>
      </c>
      <c r="E11" s="36">
        <v>5.4</v>
      </c>
      <c r="F11" s="36">
        <v>4.66</v>
      </c>
      <c r="G11" s="36">
        <v>6.1</v>
      </c>
      <c r="H11" s="36">
        <v>4.6900000000000004</v>
      </c>
      <c r="I11" s="36">
        <v>1.82</v>
      </c>
      <c r="J11" s="36">
        <v>3.22</v>
      </c>
      <c r="K11" s="36">
        <v>8.0500000000000007</v>
      </c>
      <c r="L11" s="36">
        <v>18.7</v>
      </c>
    </row>
    <row r="12" spans="1:12" ht="14.25" customHeight="1" x14ac:dyDescent="0.3">
      <c r="A12" s="36"/>
      <c r="B12" s="36" t="s">
        <v>940</v>
      </c>
      <c r="C12" s="36">
        <v>-10.62</v>
      </c>
      <c r="D12" s="36">
        <v>115.17</v>
      </c>
      <c r="E12" s="36">
        <v>173.6</v>
      </c>
      <c r="F12" s="36">
        <v>130.19</v>
      </c>
      <c r="G12" s="36">
        <v>52.03</v>
      </c>
      <c r="H12" s="36">
        <v>146.52000000000001</v>
      </c>
      <c r="I12" s="36">
        <v>380.19</v>
      </c>
      <c r="J12" s="36">
        <v>271.01</v>
      </c>
      <c r="K12" s="36">
        <v>195.45</v>
      </c>
      <c r="L12" s="36">
        <v>200.43</v>
      </c>
    </row>
    <row r="13" spans="1:12" ht="14.25" customHeight="1" x14ac:dyDescent="0.3">
      <c r="A13" s="36"/>
      <c r="B13" s="36" t="s">
        <v>941</v>
      </c>
      <c r="C13" s="36">
        <v>56.24</v>
      </c>
      <c r="D13" s="36">
        <v>102.83</v>
      </c>
      <c r="E13" s="36">
        <v>220.3</v>
      </c>
      <c r="F13" s="36">
        <v>67.260000000000005</v>
      </c>
      <c r="G13" s="36">
        <v>29.7</v>
      </c>
      <c r="H13" s="36">
        <v>36.92</v>
      </c>
      <c r="I13" s="36">
        <v>347.4</v>
      </c>
      <c r="J13" s="36">
        <v>319.2</v>
      </c>
      <c r="K13" s="36">
        <v>313.79000000000002</v>
      </c>
      <c r="L13" s="36">
        <v>50</v>
      </c>
    </row>
    <row r="14" spans="1:12" ht="14.25" customHeight="1" x14ac:dyDescent="0.3">
      <c r="A14" s="36"/>
      <c r="B14" s="36" t="s">
        <v>942</v>
      </c>
      <c r="C14" s="36">
        <v>5.23</v>
      </c>
      <c r="D14" s="36">
        <v>364.71</v>
      </c>
      <c r="E14" s="36">
        <v>186.54</v>
      </c>
      <c r="F14" s="36">
        <v>85.65</v>
      </c>
      <c r="G14" s="36">
        <v>1.46</v>
      </c>
      <c r="H14" s="36">
        <v>74.040000000000006</v>
      </c>
      <c r="I14" s="36">
        <v>562.98</v>
      </c>
      <c r="J14" s="36">
        <v>383.63</v>
      </c>
      <c r="K14" s="36">
        <v>55.88</v>
      </c>
      <c r="L14" s="36">
        <v>20</v>
      </c>
    </row>
    <row r="15" spans="1:12" ht="14.25" customHeight="1" x14ac:dyDescent="0.3">
      <c r="A15" s="36"/>
      <c r="B15" s="36" t="s">
        <v>943</v>
      </c>
      <c r="C15" s="36">
        <v>40.39</v>
      </c>
      <c r="D15" s="36">
        <v>-146.71</v>
      </c>
      <c r="E15" s="36">
        <v>207.36</v>
      </c>
      <c r="F15" s="36">
        <v>111.8</v>
      </c>
      <c r="G15" s="36">
        <v>80.27</v>
      </c>
      <c r="H15" s="36">
        <v>109.4</v>
      </c>
      <c r="I15" s="36">
        <v>164.61</v>
      </c>
      <c r="J15" s="36">
        <v>206.58</v>
      </c>
      <c r="K15" s="36">
        <v>453.36</v>
      </c>
      <c r="L15" s="36">
        <v>230.43</v>
      </c>
    </row>
    <row r="16" spans="1:12" ht="14.25" customHeight="1" x14ac:dyDescent="0.3">
      <c r="A16" s="36"/>
      <c r="B16" s="36" t="s">
        <v>944</v>
      </c>
      <c r="C16" s="36">
        <v>40.39</v>
      </c>
      <c r="D16" s="36">
        <v>-146.76</v>
      </c>
      <c r="E16" s="36">
        <v>187.1</v>
      </c>
      <c r="F16" s="36">
        <v>98.02</v>
      </c>
      <c r="G16" s="36">
        <v>78.11</v>
      </c>
      <c r="H16" s="36">
        <v>97.1</v>
      </c>
      <c r="I16" s="36">
        <v>163.51</v>
      </c>
      <c r="J16" s="36">
        <v>70.66</v>
      </c>
      <c r="K16" s="36">
        <v>422.08</v>
      </c>
      <c r="L16" s="36">
        <v>194</v>
      </c>
    </row>
    <row r="17" spans="1:12" ht="14.25" customHeight="1" x14ac:dyDescent="0.3">
      <c r="A17" s="36"/>
      <c r="B17" s="36" t="s">
        <v>945</v>
      </c>
      <c r="C17" s="36"/>
      <c r="D17" s="36"/>
      <c r="E17" s="36"/>
      <c r="F17" s="36"/>
      <c r="G17" s="36"/>
      <c r="H17" s="36"/>
      <c r="I17" s="36"/>
      <c r="J17" s="36"/>
      <c r="K17" s="36"/>
      <c r="L17" s="73">
        <v>0</v>
      </c>
    </row>
    <row r="18" spans="1:12" ht="14.25" customHeight="1" x14ac:dyDescent="0.3">
      <c r="A18" s="36"/>
      <c r="B18" s="36" t="s">
        <v>946</v>
      </c>
      <c r="C18" s="36"/>
      <c r="D18" s="36"/>
      <c r="E18" s="36"/>
      <c r="F18" s="36"/>
      <c r="G18" s="36"/>
      <c r="H18" s="36"/>
      <c r="I18" s="36"/>
      <c r="J18" s="36"/>
      <c r="K18" s="36"/>
      <c r="L18" s="73">
        <v>0</v>
      </c>
    </row>
    <row r="19" spans="1:12" ht="14.25" customHeight="1" x14ac:dyDescent="0.3">
      <c r="A19" s="36"/>
      <c r="B19" s="36" t="s">
        <v>947</v>
      </c>
      <c r="C19" s="36"/>
      <c r="D19" s="36"/>
      <c r="E19" s="36"/>
      <c r="F19" s="36"/>
      <c r="G19" s="36"/>
      <c r="H19" s="36"/>
      <c r="I19" s="36"/>
      <c r="J19" s="36"/>
      <c r="K19" s="36"/>
      <c r="L19" s="73">
        <v>0</v>
      </c>
    </row>
    <row r="20" spans="1:12" ht="14.25" customHeight="1" x14ac:dyDescent="0.3">
      <c r="A20" s="36"/>
      <c r="B20" s="36"/>
      <c r="C20" s="36"/>
      <c r="D20" s="36"/>
      <c r="E20" s="36"/>
      <c r="F20" s="36"/>
      <c r="G20" s="36"/>
      <c r="H20" s="36"/>
      <c r="I20" s="36"/>
      <c r="J20" s="36"/>
      <c r="K20" s="36"/>
      <c r="L20" s="36"/>
    </row>
    <row r="21" spans="1:12" ht="14.25" customHeight="1" x14ac:dyDescent="0.3">
      <c r="A21" s="36"/>
      <c r="B21" s="36" t="s">
        <v>948</v>
      </c>
      <c r="C21" s="36">
        <v>-6.31</v>
      </c>
      <c r="D21" s="36">
        <v>-387.13</v>
      </c>
      <c r="E21" s="36">
        <v>-9.67</v>
      </c>
      <c r="F21" s="36">
        <v>6.12</v>
      </c>
      <c r="G21" s="36">
        <v>-11.51</v>
      </c>
      <c r="H21" s="36">
        <v>-9.66</v>
      </c>
      <c r="I21" s="36">
        <v>-45.61</v>
      </c>
      <c r="J21" s="36">
        <v>-127.96</v>
      </c>
      <c r="K21" s="36">
        <v>-283.16000000000003</v>
      </c>
      <c r="L21" s="36">
        <v>-380.15</v>
      </c>
    </row>
    <row r="22" spans="1:12" ht="14.25" customHeight="1" x14ac:dyDescent="0.3">
      <c r="A22" s="36"/>
      <c r="B22" s="36" t="s">
        <v>949</v>
      </c>
      <c r="C22" s="36">
        <v>6.31</v>
      </c>
      <c r="D22" s="36">
        <v>387.32</v>
      </c>
      <c r="E22" s="36">
        <v>10.19</v>
      </c>
      <c r="F22" s="36">
        <v>16.670000000000002</v>
      </c>
      <c r="G22" s="36">
        <v>15.42</v>
      </c>
      <c r="H22" s="36">
        <v>13</v>
      </c>
      <c r="I22" s="36">
        <v>45.87</v>
      </c>
      <c r="J22" s="36">
        <v>128.36000000000001</v>
      </c>
      <c r="K22" s="36">
        <v>285.74</v>
      </c>
      <c r="L22" s="36">
        <v>380.15</v>
      </c>
    </row>
    <row r="23" spans="1:12" ht="14.25" customHeight="1" x14ac:dyDescent="0.3">
      <c r="A23" s="36"/>
      <c r="B23" s="36" t="s">
        <v>950</v>
      </c>
      <c r="C23" s="36"/>
      <c r="D23" s="36">
        <v>0.19</v>
      </c>
      <c r="E23" s="36">
        <v>0.52</v>
      </c>
      <c r="F23" s="36">
        <v>22.79</v>
      </c>
      <c r="G23" s="36">
        <v>3.91</v>
      </c>
      <c r="H23" s="36">
        <v>3.34</v>
      </c>
      <c r="I23" s="36">
        <v>0.26</v>
      </c>
      <c r="J23" s="36">
        <v>0.4</v>
      </c>
      <c r="K23" s="36">
        <v>2.58</v>
      </c>
      <c r="L23" s="36">
        <v>0</v>
      </c>
    </row>
    <row r="24" spans="1:12" ht="14.25" customHeight="1" x14ac:dyDescent="0.3">
      <c r="A24" s="36"/>
      <c r="B24" s="36"/>
      <c r="C24" s="36"/>
      <c r="D24" s="36"/>
      <c r="E24" s="36"/>
      <c r="F24" s="36"/>
      <c r="G24" s="36"/>
      <c r="H24" s="36"/>
      <c r="I24" s="36"/>
      <c r="J24" s="36"/>
      <c r="K24" s="36"/>
      <c r="L24" s="36"/>
    </row>
    <row r="25" spans="1:12" ht="14.25" customHeight="1" x14ac:dyDescent="0.3">
      <c r="A25" s="36"/>
      <c r="B25" s="36" t="s">
        <v>951</v>
      </c>
      <c r="C25" s="36">
        <v>-34.07</v>
      </c>
      <c r="D25" s="36">
        <v>535.76</v>
      </c>
      <c r="E25" s="36">
        <v>-132.78</v>
      </c>
      <c r="F25" s="36">
        <v>-138.56</v>
      </c>
      <c r="G25" s="36">
        <v>-63.05</v>
      </c>
      <c r="H25" s="36">
        <v>-60.1</v>
      </c>
      <c r="I25" s="36">
        <v>81.47</v>
      </c>
      <c r="J25" s="36">
        <v>-178.16</v>
      </c>
      <c r="K25" s="36">
        <v>-76.680000000000007</v>
      </c>
      <c r="L25" s="36">
        <v>321.13</v>
      </c>
    </row>
    <row r="26" spans="1:12" ht="14.25" customHeight="1" x14ac:dyDescent="0.3">
      <c r="A26" s="36"/>
      <c r="B26" s="36" t="s">
        <v>952</v>
      </c>
      <c r="C26" s="36">
        <v>34.07</v>
      </c>
      <c r="D26" s="36">
        <v>54.18</v>
      </c>
      <c r="E26" s="36">
        <v>140.13</v>
      </c>
      <c r="F26" s="36">
        <v>138.56</v>
      </c>
      <c r="G26" s="36">
        <v>63.05</v>
      </c>
      <c r="H26" s="36">
        <v>60.1</v>
      </c>
      <c r="I26" s="36">
        <v>34.96</v>
      </c>
      <c r="J26" s="36">
        <v>210.82</v>
      </c>
      <c r="K26" s="36">
        <v>76.680000000000007</v>
      </c>
      <c r="L26" s="36">
        <v>90</v>
      </c>
    </row>
    <row r="27" spans="1:12" ht="14.25" customHeight="1" x14ac:dyDescent="0.3">
      <c r="A27" s="36"/>
      <c r="B27" s="36" t="s">
        <v>953</v>
      </c>
      <c r="C27" s="36"/>
      <c r="D27" s="36">
        <v>589.94000000000005</v>
      </c>
      <c r="E27" s="36">
        <v>7.35</v>
      </c>
      <c r="F27" s="36"/>
      <c r="G27" s="36"/>
      <c r="H27" s="36"/>
      <c r="I27" s="36">
        <v>116.43</v>
      </c>
      <c r="J27" s="36">
        <v>32.659999999999997</v>
      </c>
      <c r="K27" s="36"/>
      <c r="L27" s="73">
        <v>411.13</v>
      </c>
    </row>
    <row r="28" spans="1:12" ht="14.25" customHeight="1" x14ac:dyDescent="0.3">
      <c r="A28" s="36"/>
      <c r="B28" s="36"/>
      <c r="C28" s="36"/>
      <c r="D28" s="36"/>
      <c r="E28" s="36"/>
      <c r="F28" s="36"/>
      <c r="G28" s="36"/>
      <c r="H28" s="36"/>
      <c r="I28" s="36"/>
      <c r="J28" s="36"/>
      <c r="K28" s="36"/>
      <c r="L28" s="36"/>
    </row>
    <row r="29" spans="1:12" ht="14.25" customHeight="1" x14ac:dyDescent="0.3">
      <c r="A29" s="36"/>
      <c r="B29" s="36" t="s">
        <v>954</v>
      </c>
      <c r="C29" s="36">
        <v>0.01</v>
      </c>
      <c r="D29" s="36">
        <v>1.87</v>
      </c>
      <c r="E29" s="36">
        <v>44.65</v>
      </c>
      <c r="F29" s="36">
        <v>-34.42</v>
      </c>
      <c r="G29" s="36">
        <v>3.55</v>
      </c>
      <c r="H29" s="36">
        <v>27.34</v>
      </c>
      <c r="I29" s="36">
        <v>199.37</v>
      </c>
      <c r="J29" s="36">
        <v>-235.46</v>
      </c>
      <c r="K29" s="36">
        <v>62.24</v>
      </c>
      <c r="L29" s="36">
        <v>135.38</v>
      </c>
    </row>
    <row r="30" spans="1:12" ht="14.25" customHeight="1" x14ac:dyDescent="0.3">
      <c r="A30" s="36"/>
      <c r="B30" s="36" t="s">
        <v>955</v>
      </c>
      <c r="C30" s="36">
        <v>0.03</v>
      </c>
      <c r="D30" s="36">
        <v>0.04</v>
      </c>
      <c r="E30" s="36">
        <v>1.91</v>
      </c>
      <c r="F30" s="36">
        <v>46.56</v>
      </c>
      <c r="G30" s="36">
        <v>12.14</v>
      </c>
      <c r="H30" s="36">
        <v>15.69</v>
      </c>
      <c r="I30" s="36">
        <v>43.03</v>
      </c>
      <c r="J30" s="36">
        <v>242.4</v>
      </c>
      <c r="K30" s="36">
        <v>6.94</v>
      </c>
      <c r="L30" s="36">
        <v>74.8</v>
      </c>
    </row>
    <row r="31" spans="1:12" ht="14.25" customHeight="1" x14ac:dyDescent="0.3">
      <c r="A31" s="36"/>
      <c r="B31" s="36" t="s">
        <v>956</v>
      </c>
      <c r="C31" s="36">
        <v>0.04</v>
      </c>
      <c r="D31" s="36">
        <v>1.91</v>
      </c>
      <c r="E31" s="36">
        <v>46.56</v>
      </c>
      <c r="F31" s="36">
        <v>12.14</v>
      </c>
      <c r="G31" s="36">
        <v>15.69</v>
      </c>
      <c r="H31" s="36">
        <v>43.03</v>
      </c>
      <c r="I31" s="36">
        <v>242.4</v>
      </c>
      <c r="J31" s="36">
        <v>6.94</v>
      </c>
      <c r="K31" s="36">
        <v>69.180000000000007</v>
      </c>
      <c r="L31" s="36">
        <v>210.18</v>
      </c>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57"/>
  <sheetViews>
    <sheetView showGridLines="0" zoomScaleNormal="100" workbookViewId="0">
      <selection activeCell="C18" sqref="C18"/>
    </sheetView>
  </sheetViews>
  <sheetFormatPr defaultColWidth="8.6640625" defaultRowHeight="14.4" x14ac:dyDescent="0.3"/>
  <cols>
    <col min="1" max="1" width="37" customWidth="1"/>
    <col min="2" max="2" width="10.21875" customWidth="1"/>
    <col min="3" max="12" width="15.77734375" customWidth="1"/>
  </cols>
  <sheetData>
    <row r="1" spans="1:12" ht="24" customHeight="1" x14ac:dyDescent="0.3">
      <c r="A1" s="893" t="s">
        <v>957</v>
      </c>
      <c r="B1" s="893"/>
      <c r="C1" s="893"/>
      <c r="D1" s="893"/>
      <c r="E1" s="893"/>
      <c r="F1" s="893"/>
      <c r="G1" s="893"/>
      <c r="H1" s="893"/>
      <c r="I1" s="79"/>
      <c r="J1" s="79"/>
      <c r="K1" s="79"/>
      <c r="L1" s="79"/>
    </row>
    <row r="2" spans="1:12" ht="18" customHeight="1" x14ac:dyDescent="0.3">
      <c r="A2" s="555" t="s">
        <v>958</v>
      </c>
      <c r="B2" s="555"/>
      <c r="C2" s="555"/>
      <c r="D2" s="555"/>
      <c r="E2" s="555"/>
      <c r="F2" s="555"/>
      <c r="G2" s="555"/>
      <c r="H2" s="555"/>
      <c r="I2" s="60"/>
      <c r="J2" s="60"/>
      <c r="K2" s="60"/>
      <c r="L2" s="60"/>
    </row>
    <row r="3" spans="1:12" ht="6" customHeight="1" x14ac:dyDescent="0.3">
      <c r="A3" s="77"/>
      <c r="B3" s="77"/>
      <c r="C3" s="77"/>
      <c r="D3" s="77"/>
      <c r="E3" s="77"/>
      <c r="F3" s="77"/>
      <c r="G3" s="77"/>
      <c r="H3" s="77"/>
      <c r="I3" s="48"/>
      <c r="J3" s="48"/>
      <c r="K3" s="48"/>
      <c r="L3" s="48"/>
    </row>
    <row r="4" spans="1:12" ht="22.05" customHeight="1" x14ac:dyDescent="0.3">
      <c r="A4" s="78" t="s">
        <v>959</v>
      </c>
      <c r="B4" s="78" t="s">
        <v>960</v>
      </c>
      <c r="C4" s="78" t="s">
        <v>144</v>
      </c>
      <c r="D4" s="78" t="s">
        <v>145</v>
      </c>
      <c r="E4" s="78" t="s">
        <v>146</v>
      </c>
      <c r="F4" s="78" t="s">
        <v>147</v>
      </c>
      <c r="G4" s="78" t="s">
        <v>148</v>
      </c>
      <c r="H4" s="78" t="s">
        <v>149</v>
      </c>
      <c r="I4" s="78" t="s">
        <v>1143</v>
      </c>
      <c r="J4" s="78" t="s">
        <v>1144</v>
      </c>
      <c r="K4" s="78" t="s">
        <v>1145</v>
      </c>
      <c r="L4" s="78" t="s">
        <v>1146</v>
      </c>
    </row>
    <row r="5" spans="1:12" ht="6" customHeight="1" x14ac:dyDescent="0.3">
      <c r="A5" s="36"/>
      <c r="B5" s="36"/>
      <c r="C5" s="36"/>
      <c r="D5" s="36"/>
      <c r="E5" s="36"/>
      <c r="F5" s="36"/>
      <c r="G5" s="36"/>
      <c r="H5" s="36"/>
      <c r="I5" s="48"/>
      <c r="J5" s="48"/>
      <c r="K5" s="48"/>
      <c r="L5" s="48"/>
    </row>
    <row r="6" spans="1:12" ht="22.05" customHeight="1" x14ac:dyDescent="0.3">
      <c r="A6" s="675" t="s">
        <v>961</v>
      </c>
      <c r="B6" s="675"/>
      <c r="C6" s="677"/>
      <c r="D6" s="677"/>
      <c r="E6" s="677"/>
      <c r="F6" s="677"/>
      <c r="G6" s="677"/>
      <c r="H6" s="677"/>
      <c r="I6" s="677"/>
      <c r="J6" s="677"/>
      <c r="K6" s="677"/>
      <c r="L6" s="677"/>
    </row>
    <row r="7" spans="1:12" ht="18" customHeight="1" x14ac:dyDescent="0.3">
      <c r="A7" s="160" t="s">
        <v>962</v>
      </c>
      <c r="B7" s="36"/>
      <c r="C7" s="39"/>
      <c r="D7" s="39"/>
      <c r="E7" s="39"/>
      <c r="F7" s="39"/>
      <c r="G7" s="39"/>
      <c r="H7" s="39"/>
      <c r="I7" s="716"/>
      <c r="J7" s="716"/>
      <c r="K7" s="716"/>
      <c r="L7" s="716"/>
    </row>
    <row r="8" spans="1:12" ht="18" customHeight="1" x14ac:dyDescent="0.3">
      <c r="A8" s="36" t="s">
        <v>963</v>
      </c>
      <c r="B8" s="36" t="s">
        <v>964</v>
      </c>
      <c r="C8" s="588">
        <v>429000</v>
      </c>
      <c r="D8" s="735">
        <f>'Assumptions &amp; Drivers'!D83</f>
        <v>429000</v>
      </c>
      <c r="E8" s="735">
        <f>'Assumptions &amp; Drivers'!E83</f>
        <v>429000</v>
      </c>
      <c r="F8" s="735">
        <f>'Assumptions &amp; Drivers'!F83</f>
        <v>429000</v>
      </c>
      <c r="G8" s="735">
        <f>'Assumptions &amp; Drivers'!G83</f>
        <v>429000</v>
      </c>
      <c r="H8" s="735">
        <f>'Assumptions &amp; Drivers'!H83</f>
        <v>429000</v>
      </c>
      <c r="I8" s="735">
        <f>'Assumptions &amp; Drivers'!I83</f>
        <v>429000</v>
      </c>
      <c r="J8" s="735">
        <f>'Assumptions &amp; Drivers'!J83</f>
        <v>429000</v>
      </c>
      <c r="K8" s="735">
        <f>'Assumptions &amp; Drivers'!K83</f>
        <v>429000</v>
      </c>
      <c r="L8" s="735">
        <f>'Assumptions &amp; Drivers'!L83</f>
        <v>429000</v>
      </c>
    </row>
    <row r="9" spans="1:12" ht="18" customHeight="1" x14ac:dyDescent="0.3">
      <c r="A9" s="36" t="s">
        <v>965</v>
      </c>
      <c r="B9" s="36" t="s">
        <v>964</v>
      </c>
      <c r="C9" s="588">
        <v>0</v>
      </c>
      <c r="D9" s="735">
        <f>'Assumptions &amp; Drivers'!D86</f>
        <v>350000</v>
      </c>
      <c r="E9" s="735">
        <f>'Assumptions &amp; Drivers'!E86</f>
        <v>350000</v>
      </c>
      <c r="F9" s="735">
        <f>'Assumptions &amp; Drivers'!F86</f>
        <v>350000</v>
      </c>
      <c r="G9" s="735">
        <f>'Assumptions &amp; Drivers'!G86</f>
        <v>350000</v>
      </c>
      <c r="H9" s="735">
        <f>'Assumptions &amp; Drivers'!H86</f>
        <v>350000</v>
      </c>
      <c r="I9" s="735">
        <f>'Assumptions &amp; Drivers'!I86</f>
        <v>350000</v>
      </c>
      <c r="J9" s="735">
        <f>'Assumptions &amp; Drivers'!J86</f>
        <v>350000</v>
      </c>
      <c r="K9" s="735">
        <f>'Assumptions &amp; Drivers'!K86</f>
        <v>350000</v>
      </c>
      <c r="L9" s="735">
        <f>'Assumptions &amp; Drivers'!L86</f>
        <v>350000</v>
      </c>
    </row>
    <row r="10" spans="1:12" ht="18" customHeight="1" x14ac:dyDescent="0.3">
      <c r="A10" s="666" t="s">
        <v>966</v>
      </c>
      <c r="B10" s="252"/>
      <c r="C10" s="748">
        <f t="shared" ref="C10:H10" si="0">SUM(C8:C9)</f>
        <v>429000</v>
      </c>
      <c r="D10" s="749">
        <f t="shared" si="0"/>
        <v>779000</v>
      </c>
      <c r="E10" s="749">
        <f t="shared" si="0"/>
        <v>779000</v>
      </c>
      <c r="F10" s="749">
        <f t="shared" si="0"/>
        <v>779000</v>
      </c>
      <c r="G10" s="749">
        <f t="shared" si="0"/>
        <v>779000</v>
      </c>
      <c r="H10" s="749">
        <f t="shared" si="0"/>
        <v>779000</v>
      </c>
      <c r="I10" s="749">
        <f>SUM(I8:I9)</f>
        <v>779000</v>
      </c>
      <c r="J10" s="749">
        <f>SUM(J8:J9)</f>
        <v>779000</v>
      </c>
      <c r="K10" s="749">
        <f>SUM(K8:K9)</f>
        <v>779000</v>
      </c>
      <c r="L10" s="749">
        <f>SUM(L8:L9)</f>
        <v>779000</v>
      </c>
    </row>
    <row r="11" spans="1:12" ht="18" customHeight="1" x14ac:dyDescent="0.3">
      <c r="A11" s="160" t="s">
        <v>967</v>
      </c>
      <c r="B11" s="36"/>
      <c r="C11" s="39"/>
      <c r="D11" s="39"/>
      <c r="E11" s="39"/>
      <c r="F11" s="39"/>
      <c r="G11" s="39"/>
      <c r="H11" s="39"/>
      <c r="I11" s="716"/>
      <c r="J11" s="716"/>
      <c r="K11" s="716"/>
      <c r="L11" s="716"/>
    </row>
    <row r="12" spans="1:12" ht="18" customHeight="1" x14ac:dyDescent="0.3">
      <c r="A12" s="36" t="s">
        <v>968</v>
      </c>
      <c r="B12" s="36" t="s">
        <v>969</v>
      </c>
      <c r="C12" s="173">
        <v>0.92600000000000005</v>
      </c>
      <c r="D12" s="172">
        <f>'Assumptions &amp; Drivers'!D84</f>
        <v>0.91176599999999997</v>
      </c>
      <c r="E12" s="172">
        <f>'Assumptions &amp; Drivers'!E84</f>
        <v>0.91176599999999997</v>
      </c>
      <c r="F12" s="172">
        <f>'Assumptions &amp; Drivers'!F84</f>
        <v>0.91176599999999997</v>
      </c>
      <c r="G12" s="172">
        <f>'Assumptions &amp; Drivers'!G84</f>
        <v>0.91176599999999997</v>
      </c>
      <c r="H12" s="172">
        <f>'Assumptions &amp; Drivers'!H84</f>
        <v>0.91176599999999997</v>
      </c>
      <c r="I12" s="172">
        <f>'Assumptions &amp; Drivers'!I84</f>
        <v>0.91176599999999997</v>
      </c>
      <c r="J12" s="172">
        <f>'Assumptions &amp; Drivers'!J84</f>
        <v>0.91176599999999997</v>
      </c>
      <c r="K12" s="172">
        <f>'Assumptions &amp; Drivers'!K84</f>
        <v>0.91176599999999997</v>
      </c>
      <c r="L12" s="172">
        <f>'Assumptions &amp; Drivers'!L84</f>
        <v>0.91176599999999997</v>
      </c>
    </row>
    <row r="13" spans="1:12" ht="18" customHeight="1" x14ac:dyDescent="0.3">
      <c r="A13" s="36" t="s">
        <v>970</v>
      </c>
      <c r="B13" s="36" t="s">
        <v>969</v>
      </c>
      <c r="C13" s="173">
        <v>0</v>
      </c>
      <c r="D13" s="172">
        <f>'Assumptions &amp; Drivers'!D87</f>
        <v>0.35</v>
      </c>
      <c r="E13" s="172">
        <f>'Assumptions &amp; Drivers'!E87</f>
        <v>0.7</v>
      </c>
      <c r="F13" s="172">
        <f>'Assumptions &amp; Drivers'!F87</f>
        <v>0.8</v>
      </c>
      <c r="G13" s="172">
        <f>'Assumptions &amp; Drivers'!G87</f>
        <v>0.8</v>
      </c>
      <c r="H13" s="172">
        <f>'Assumptions &amp; Drivers'!H87</f>
        <v>0.8</v>
      </c>
      <c r="I13" s="172">
        <f>'Assumptions &amp; Drivers'!I87</f>
        <v>0.8</v>
      </c>
      <c r="J13" s="172">
        <f>'Assumptions &amp; Drivers'!J87</f>
        <v>0.8</v>
      </c>
      <c r="K13" s="172">
        <f>'Assumptions &amp; Drivers'!K87</f>
        <v>0.8</v>
      </c>
      <c r="L13" s="172">
        <f>'Assumptions &amp; Drivers'!L87</f>
        <v>0.8</v>
      </c>
    </row>
    <row r="14" spans="1:12" ht="18" customHeight="1" x14ac:dyDescent="0.3">
      <c r="A14" s="666" t="s">
        <v>971</v>
      </c>
      <c r="B14" s="252"/>
      <c r="C14" s="736"/>
      <c r="D14" s="736"/>
      <c r="E14" s="736"/>
      <c r="F14" s="736"/>
      <c r="G14" s="736"/>
      <c r="H14" s="736"/>
      <c r="I14" s="716"/>
      <c r="J14" s="716"/>
      <c r="K14" s="716"/>
      <c r="L14" s="716"/>
    </row>
    <row r="15" spans="1:12" ht="18" customHeight="1" x14ac:dyDescent="0.3">
      <c r="A15" s="36" t="s">
        <v>972</v>
      </c>
      <c r="B15" s="36" t="s">
        <v>964</v>
      </c>
      <c r="C15" s="588">
        <v>397086</v>
      </c>
      <c r="D15" s="742">
        <f t="shared" ref="D15:H16" si="1">D8*D12</f>
        <v>391147.614</v>
      </c>
      <c r="E15" s="742">
        <f t="shared" si="1"/>
        <v>391147.614</v>
      </c>
      <c r="F15" s="742">
        <f t="shared" si="1"/>
        <v>391147.614</v>
      </c>
      <c r="G15" s="742">
        <f t="shared" si="1"/>
        <v>391147.614</v>
      </c>
      <c r="H15" s="742">
        <f t="shared" si="1"/>
        <v>391147.614</v>
      </c>
      <c r="I15" s="735">
        <f t="shared" ref="I15:L16" si="2">I8*I12</f>
        <v>391147.614</v>
      </c>
      <c r="J15" s="735">
        <f t="shared" si="2"/>
        <v>391147.614</v>
      </c>
      <c r="K15" s="735">
        <f t="shared" si="2"/>
        <v>391147.614</v>
      </c>
      <c r="L15" s="735">
        <f t="shared" si="2"/>
        <v>391147.614</v>
      </c>
    </row>
    <row r="16" spans="1:12" ht="18" customHeight="1" x14ac:dyDescent="0.3">
      <c r="A16" s="114" t="s">
        <v>973</v>
      </c>
      <c r="B16" s="114" t="s">
        <v>964</v>
      </c>
      <c r="C16" s="764">
        <v>0</v>
      </c>
      <c r="D16" s="764">
        <f t="shared" si="1"/>
        <v>122499.99999999999</v>
      </c>
      <c r="E16" s="764">
        <f t="shared" si="1"/>
        <v>244999.99999999997</v>
      </c>
      <c r="F16" s="764">
        <f t="shared" si="1"/>
        <v>280000</v>
      </c>
      <c r="G16" s="764">
        <f t="shared" si="1"/>
        <v>280000</v>
      </c>
      <c r="H16" s="764">
        <f t="shared" si="1"/>
        <v>280000</v>
      </c>
      <c r="I16" s="737">
        <f t="shared" si="2"/>
        <v>280000</v>
      </c>
      <c r="J16" s="737">
        <f t="shared" si="2"/>
        <v>280000</v>
      </c>
      <c r="K16" s="737">
        <f t="shared" si="2"/>
        <v>280000</v>
      </c>
      <c r="L16" s="737">
        <f t="shared" si="2"/>
        <v>280000</v>
      </c>
    </row>
    <row r="17" spans="1:12" ht="18" customHeight="1" x14ac:dyDescent="0.3">
      <c r="A17" s="666" t="s">
        <v>566</v>
      </c>
      <c r="B17" s="252"/>
      <c r="C17" s="738">
        <f t="shared" ref="C17:H17" si="3">C15+C16</f>
        <v>397086</v>
      </c>
      <c r="D17" s="738">
        <f t="shared" si="3"/>
        <v>513647.614</v>
      </c>
      <c r="E17" s="738">
        <f t="shared" si="3"/>
        <v>636147.61399999994</v>
      </c>
      <c r="F17" s="738">
        <f t="shared" si="3"/>
        <v>671147.61400000006</v>
      </c>
      <c r="G17" s="738">
        <f t="shared" si="3"/>
        <v>671147.61400000006</v>
      </c>
      <c r="H17" s="738">
        <f t="shared" si="3"/>
        <v>671147.61400000006</v>
      </c>
      <c r="I17" s="738">
        <f>I15+I16</f>
        <v>671147.61400000006</v>
      </c>
      <c r="J17" s="738">
        <f>J15+J16</f>
        <v>671147.61400000006</v>
      </c>
      <c r="K17" s="738">
        <f>K15+K16</f>
        <v>671147.61400000006</v>
      </c>
      <c r="L17" s="738">
        <f>L15+L16</f>
        <v>671147.61400000006</v>
      </c>
    </row>
    <row r="18" spans="1:12" ht="18" customHeight="1" x14ac:dyDescent="0.3">
      <c r="A18" s="36" t="s">
        <v>974</v>
      </c>
      <c r="B18" s="36" t="s">
        <v>975</v>
      </c>
      <c r="C18" s="588">
        <v>33229</v>
      </c>
      <c r="D18" s="735">
        <f>'Assumptions &amp; Drivers'!D90</f>
        <v>27000</v>
      </c>
      <c r="E18" s="735">
        <f>'Assumptions &amp; Drivers'!E90</f>
        <v>27000</v>
      </c>
      <c r="F18" s="735">
        <f>'Assumptions &amp; Drivers'!F90</f>
        <v>27000</v>
      </c>
      <c r="G18" s="735">
        <f>'Assumptions &amp; Drivers'!G90</f>
        <v>27000</v>
      </c>
      <c r="H18" s="735">
        <f>'Assumptions &amp; Drivers'!H90</f>
        <v>27000</v>
      </c>
      <c r="I18" s="735">
        <f>'Assumptions &amp; Drivers'!I90</f>
        <v>27000</v>
      </c>
      <c r="J18" s="735">
        <f>'Assumptions &amp; Drivers'!J90</f>
        <v>27000</v>
      </c>
      <c r="K18" s="735">
        <f>'Assumptions &amp; Drivers'!K90</f>
        <v>27000</v>
      </c>
      <c r="L18" s="735">
        <f>'Assumptions &amp; Drivers'!L90</f>
        <v>27000</v>
      </c>
    </row>
    <row r="19" spans="1:12" ht="18" customHeight="1" x14ac:dyDescent="0.3">
      <c r="A19" s="160" t="s">
        <v>569</v>
      </c>
      <c r="B19" s="36"/>
      <c r="C19" s="739">
        <f t="shared" ref="C19:H19" si="4">C17*C18/10000000</f>
        <v>1319.4770693999999</v>
      </c>
      <c r="D19" s="739">
        <f t="shared" si="4"/>
        <v>1386.8485578</v>
      </c>
      <c r="E19" s="739">
        <f t="shared" si="4"/>
        <v>1717.5985577999998</v>
      </c>
      <c r="F19" s="739">
        <f t="shared" si="4"/>
        <v>1812.0985578</v>
      </c>
      <c r="G19" s="739">
        <f t="shared" si="4"/>
        <v>1812.0985578</v>
      </c>
      <c r="H19" s="739">
        <f t="shared" si="4"/>
        <v>1812.0985578</v>
      </c>
      <c r="I19" s="739">
        <f>I17*I18/10000000</f>
        <v>1812.0985578</v>
      </c>
      <c r="J19" s="739">
        <f>J17*J18/10000000</f>
        <v>1812.0985578</v>
      </c>
      <c r="K19" s="739">
        <f>K17*K18/10000000</f>
        <v>1812.0985578</v>
      </c>
      <c r="L19" s="739">
        <f>L17*L18/10000000</f>
        <v>1812.0985578</v>
      </c>
    </row>
    <row r="20" spans="1:12" ht="6" customHeight="1" x14ac:dyDescent="0.3">
      <c r="A20" s="36"/>
      <c r="B20" s="36"/>
      <c r="C20" s="39"/>
      <c r="D20" s="39"/>
      <c r="E20" s="39"/>
      <c r="F20" s="39"/>
      <c r="G20" s="39"/>
      <c r="H20" s="39"/>
      <c r="I20" s="716"/>
      <c r="J20" s="716"/>
      <c r="K20" s="716"/>
      <c r="L20" s="716"/>
    </row>
    <row r="21" spans="1:12" ht="22.05" customHeight="1" x14ac:dyDescent="0.3">
      <c r="A21" s="675" t="s">
        <v>976</v>
      </c>
      <c r="B21" s="675"/>
      <c r="C21" s="677"/>
      <c r="D21" s="677"/>
      <c r="E21" s="677"/>
      <c r="F21" s="677"/>
      <c r="G21" s="677"/>
      <c r="H21" s="677"/>
      <c r="I21" s="677"/>
      <c r="J21" s="677"/>
      <c r="K21" s="677"/>
      <c r="L21" s="677"/>
    </row>
    <row r="22" spans="1:12" ht="18" customHeight="1" x14ac:dyDescent="0.3">
      <c r="A22" s="252" t="s">
        <v>977</v>
      </c>
      <c r="B22" s="252" t="s">
        <v>978</v>
      </c>
      <c r="C22" s="740">
        <v>199</v>
      </c>
      <c r="D22" s="741">
        <f>'Assumptions &amp; Drivers'!D92</f>
        <v>222</v>
      </c>
      <c r="E22" s="741">
        <f>'Assumptions &amp; Drivers'!E92</f>
        <v>222</v>
      </c>
      <c r="F22" s="741">
        <f>'Assumptions &amp; Drivers'!F92</f>
        <v>222</v>
      </c>
      <c r="G22" s="741">
        <f>'Assumptions &amp; Drivers'!G92</f>
        <v>222</v>
      </c>
      <c r="H22" s="741">
        <f>'Assumptions &amp; Drivers'!H92</f>
        <v>222</v>
      </c>
      <c r="I22" s="735">
        <f>'Assumptions &amp; Drivers'!I92</f>
        <v>222</v>
      </c>
      <c r="J22" s="735">
        <f>'Assumptions &amp; Drivers'!J92</f>
        <v>222</v>
      </c>
      <c r="K22" s="735">
        <f>'Assumptions &amp; Drivers'!K92</f>
        <v>222</v>
      </c>
      <c r="L22" s="735">
        <f>'Assumptions &amp; Drivers'!L92</f>
        <v>222</v>
      </c>
    </row>
    <row r="23" spans="1:12" ht="18" customHeight="1" x14ac:dyDescent="0.3">
      <c r="A23" s="160" t="s">
        <v>979</v>
      </c>
      <c r="B23" s="36" t="s">
        <v>980</v>
      </c>
      <c r="C23" s="742">
        <f t="shared" ref="C23:H23" si="5">C17*C22</f>
        <v>79020114</v>
      </c>
      <c r="D23" s="742">
        <f t="shared" si="5"/>
        <v>114029770.308</v>
      </c>
      <c r="E23" s="742">
        <f t="shared" si="5"/>
        <v>141224770.308</v>
      </c>
      <c r="F23" s="742">
        <f t="shared" si="5"/>
        <v>148994770.30800003</v>
      </c>
      <c r="G23" s="742">
        <f t="shared" si="5"/>
        <v>148994770.30800003</v>
      </c>
      <c r="H23" s="742">
        <f t="shared" si="5"/>
        <v>148994770.30800003</v>
      </c>
      <c r="I23" s="742">
        <f>I17*I22</f>
        <v>148994770.30800003</v>
      </c>
      <c r="J23" s="742">
        <f>J17*J22</f>
        <v>148994770.30800003</v>
      </c>
      <c r="K23" s="742">
        <f>K17*K22</f>
        <v>148994770.30800003</v>
      </c>
      <c r="L23" s="742">
        <f>L17*L22</f>
        <v>148994770.30800003</v>
      </c>
    </row>
    <row r="24" spans="1:12" ht="18" customHeight="1" x14ac:dyDescent="0.3">
      <c r="A24" s="207" t="s">
        <v>115</v>
      </c>
      <c r="B24" s="207" t="s">
        <v>981</v>
      </c>
      <c r="C24" s="743">
        <v>18.75</v>
      </c>
      <c r="D24" s="763">
        <f>'Assumptions &amp; Drivers'!D94</f>
        <v>19.440000000000001</v>
      </c>
      <c r="E24" s="763">
        <f>'Assumptions &amp; Drivers'!E94</f>
        <v>19.440000000000001</v>
      </c>
      <c r="F24" s="763">
        <f>'Assumptions &amp; Drivers'!F94</f>
        <v>19.440000000000001</v>
      </c>
      <c r="G24" s="763">
        <f>'Assumptions &amp; Drivers'!G94</f>
        <v>19.440000000000001</v>
      </c>
      <c r="H24" s="763">
        <f>'Assumptions &amp; Drivers'!H94</f>
        <v>19.440000000000001</v>
      </c>
      <c r="I24" s="181">
        <f>'Assumptions &amp; Drivers'!I94</f>
        <v>19.440000000000001</v>
      </c>
      <c r="J24" s="181">
        <f>'Assumptions &amp; Drivers'!J94</f>
        <v>19.440000000000001</v>
      </c>
      <c r="K24" s="181">
        <f>'Assumptions &amp; Drivers'!K94</f>
        <v>19.440000000000001</v>
      </c>
      <c r="L24" s="181">
        <f>'Assumptions &amp; Drivers'!L94</f>
        <v>19.440000000000001</v>
      </c>
    </row>
    <row r="25" spans="1:12" ht="18" customHeight="1" x14ac:dyDescent="0.3">
      <c r="A25" s="160" t="s">
        <v>573</v>
      </c>
      <c r="B25" s="36"/>
      <c r="C25" s="739">
        <f t="shared" ref="C25:H25" si="6">C23*C24/10000000</f>
        <v>148.16271374999999</v>
      </c>
      <c r="D25" s="739">
        <f t="shared" si="6"/>
        <v>221.673873478752</v>
      </c>
      <c r="E25" s="739">
        <f t="shared" si="6"/>
        <v>274.54095347875199</v>
      </c>
      <c r="F25" s="739">
        <f t="shared" si="6"/>
        <v>289.64583347875208</v>
      </c>
      <c r="G25" s="739">
        <f t="shared" si="6"/>
        <v>289.64583347875208</v>
      </c>
      <c r="H25" s="739">
        <f t="shared" si="6"/>
        <v>289.64583347875208</v>
      </c>
      <c r="I25" s="739">
        <f>I23*I24/10000000</f>
        <v>289.64583347875208</v>
      </c>
      <c r="J25" s="739">
        <f>J23*J24/10000000</f>
        <v>289.64583347875208</v>
      </c>
      <c r="K25" s="739">
        <f>K23*K24/10000000</f>
        <v>289.64583347875208</v>
      </c>
      <c r="L25" s="739">
        <f>L23*L24/10000000</f>
        <v>289.64583347875208</v>
      </c>
    </row>
    <row r="26" spans="1:12" ht="6" customHeight="1" x14ac:dyDescent="0.3">
      <c r="A26" s="36"/>
      <c r="B26" s="36"/>
      <c r="C26" s="39"/>
      <c r="D26" s="39"/>
      <c r="E26" s="39"/>
      <c r="F26" s="39"/>
      <c r="G26" s="39"/>
      <c r="H26" s="39"/>
      <c r="I26" s="716"/>
      <c r="J26" s="716"/>
      <c r="K26" s="716"/>
      <c r="L26" s="716"/>
    </row>
    <row r="27" spans="1:12" ht="22.05" customHeight="1" x14ac:dyDescent="0.3">
      <c r="A27" s="675" t="s">
        <v>982</v>
      </c>
      <c r="B27" s="675"/>
      <c r="C27" s="677"/>
      <c r="D27" s="677"/>
      <c r="E27" s="677"/>
      <c r="F27" s="677"/>
      <c r="G27" s="677"/>
      <c r="H27" s="677"/>
      <c r="I27" s="677"/>
      <c r="J27" s="677"/>
      <c r="K27" s="677"/>
      <c r="L27" s="677"/>
    </row>
    <row r="28" spans="1:12" ht="18" customHeight="1" x14ac:dyDescent="0.3">
      <c r="A28" s="36" t="s">
        <v>983</v>
      </c>
      <c r="B28" s="36" t="s">
        <v>969</v>
      </c>
      <c r="C28" s="176">
        <v>3.5999999999999997E-2</v>
      </c>
      <c r="D28" s="175">
        <f>'Assumptions &amp; Drivers'!D96</f>
        <v>3.78E-2</v>
      </c>
      <c r="E28" s="175">
        <f>'Assumptions &amp; Drivers'!E96</f>
        <v>3.78E-2</v>
      </c>
      <c r="F28" s="175">
        <f>'Assumptions &amp; Drivers'!F96</f>
        <v>3.78E-2</v>
      </c>
      <c r="G28" s="175">
        <f>'Assumptions &amp; Drivers'!G96</f>
        <v>3.78E-2</v>
      </c>
      <c r="H28" s="175">
        <f>'Assumptions &amp; Drivers'!H96</f>
        <v>3.78E-2</v>
      </c>
      <c r="I28" s="175">
        <f>'Assumptions &amp; Drivers'!I96</f>
        <v>3.78E-2</v>
      </c>
      <c r="J28" s="175">
        <f>'Assumptions &amp; Drivers'!J96</f>
        <v>3.78E-2</v>
      </c>
      <c r="K28" s="175">
        <f>'Assumptions &amp; Drivers'!K96</f>
        <v>3.78E-2</v>
      </c>
      <c r="L28" s="175">
        <f>'Assumptions &amp; Drivers'!L96</f>
        <v>3.78E-2</v>
      </c>
    </row>
    <row r="29" spans="1:12" ht="18" customHeight="1" x14ac:dyDescent="0.3">
      <c r="A29" s="666" t="s">
        <v>984</v>
      </c>
      <c r="B29" s="252" t="s">
        <v>964</v>
      </c>
      <c r="C29" s="762">
        <f t="shared" ref="C29:H29" si="7">C17*C28</f>
        <v>14295.096</v>
      </c>
      <c r="D29" s="762">
        <f t="shared" si="7"/>
        <v>19415.8798092</v>
      </c>
      <c r="E29" s="762">
        <f t="shared" si="7"/>
        <v>24046.3798092</v>
      </c>
      <c r="F29" s="762">
        <f t="shared" si="7"/>
        <v>25369.379809200003</v>
      </c>
      <c r="G29" s="762">
        <f t="shared" si="7"/>
        <v>25369.379809200003</v>
      </c>
      <c r="H29" s="762">
        <f t="shared" si="7"/>
        <v>25369.379809200003</v>
      </c>
      <c r="I29" s="742">
        <f>I17*I28</f>
        <v>25369.379809200003</v>
      </c>
      <c r="J29" s="742">
        <f>J17*J28</f>
        <v>25369.379809200003</v>
      </c>
      <c r="K29" s="742">
        <f>K17*K28</f>
        <v>25369.379809200003</v>
      </c>
      <c r="L29" s="742">
        <f>L17*L28</f>
        <v>25369.379809200003</v>
      </c>
    </row>
    <row r="30" spans="1:12" ht="18" customHeight="1" x14ac:dyDescent="0.3">
      <c r="A30" s="36" t="s">
        <v>119</v>
      </c>
      <c r="B30" s="36" t="s">
        <v>975</v>
      </c>
      <c r="C30" s="588">
        <v>45508</v>
      </c>
      <c r="D30" s="735">
        <f>'Assumptions &amp; Drivers'!D98</f>
        <v>37000</v>
      </c>
      <c r="E30" s="735">
        <f>'Assumptions &amp; Drivers'!E98</f>
        <v>37000</v>
      </c>
      <c r="F30" s="735">
        <f>'Assumptions &amp; Drivers'!F98</f>
        <v>37000</v>
      </c>
      <c r="G30" s="735">
        <f>'Assumptions &amp; Drivers'!G98</f>
        <v>37000</v>
      </c>
      <c r="H30" s="735">
        <f>'Assumptions &amp; Drivers'!H98</f>
        <v>37000</v>
      </c>
      <c r="I30" s="735">
        <f>'Assumptions &amp; Drivers'!I98</f>
        <v>37000</v>
      </c>
      <c r="J30" s="735">
        <f>'Assumptions &amp; Drivers'!J98</f>
        <v>37000</v>
      </c>
      <c r="K30" s="735">
        <f>'Assumptions &amp; Drivers'!K98</f>
        <v>37000</v>
      </c>
      <c r="L30" s="735">
        <f>'Assumptions &amp; Drivers'!L98</f>
        <v>37000</v>
      </c>
    </row>
    <row r="31" spans="1:12" ht="18" customHeight="1" x14ac:dyDescent="0.3">
      <c r="A31" s="207" t="s">
        <v>577</v>
      </c>
      <c r="B31" s="207"/>
      <c r="C31" s="616">
        <f t="shared" ref="C31:H31" si="8">C29*C30/10000000</f>
        <v>65.054122876799994</v>
      </c>
      <c r="D31" s="616">
        <f t="shared" si="8"/>
        <v>71.838755294039998</v>
      </c>
      <c r="E31" s="616">
        <f t="shared" si="8"/>
        <v>88.971605294040003</v>
      </c>
      <c r="F31" s="616">
        <f t="shared" si="8"/>
        <v>93.866705294040017</v>
      </c>
      <c r="G31" s="616">
        <f t="shared" si="8"/>
        <v>93.866705294040017</v>
      </c>
      <c r="H31" s="616">
        <f t="shared" si="8"/>
        <v>93.866705294040017</v>
      </c>
      <c r="I31" s="744">
        <f>I29*I30/10000000</f>
        <v>93.866705294040017</v>
      </c>
      <c r="J31" s="744">
        <f>J29*J30/10000000</f>
        <v>93.866705294040017</v>
      </c>
      <c r="K31" s="744">
        <f>K29*K30/10000000</f>
        <v>93.866705294040017</v>
      </c>
      <c r="L31" s="744">
        <f>L29*L30/10000000</f>
        <v>93.866705294040017</v>
      </c>
    </row>
    <row r="32" spans="1:12" ht="6" customHeight="1" x14ac:dyDescent="0.3">
      <c r="A32" s="36"/>
      <c r="B32" s="36"/>
      <c r="C32" s="39"/>
      <c r="D32" s="39"/>
      <c r="E32" s="39"/>
      <c r="F32" s="39"/>
      <c r="G32" s="39"/>
      <c r="H32" s="39"/>
      <c r="I32" s="716"/>
      <c r="J32" s="716"/>
      <c r="K32" s="716"/>
      <c r="L32" s="716"/>
    </row>
    <row r="33" spans="1:12" ht="18" customHeight="1" x14ac:dyDescent="0.3">
      <c r="A33" s="676" t="s">
        <v>985</v>
      </c>
      <c r="B33" s="252"/>
      <c r="C33" s="745">
        <f t="shared" ref="C33:H33" si="9">C19+C25+C31</f>
        <v>1532.6939060267998</v>
      </c>
      <c r="D33" s="745">
        <f t="shared" si="9"/>
        <v>1680.3611865727921</v>
      </c>
      <c r="E33" s="745">
        <f t="shared" si="9"/>
        <v>2081.1111165727916</v>
      </c>
      <c r="F33" s="745">
        <f t="shared" si="9"/>
        <v>2195.6110965727921</v>
      </c>
      <c r="G33" s="745">
        <f t="shared" si="9"/>
        <v>2195.6110965727921</v>
      </c>
      <c r="H33" s="745">
        <f t="shared" si="9"/>
        <v>2195.6110965727921</v>
      </c>
      <c r="I33" s="745">
        <f>I19+I25+I31</f>
        <v>2195.6110965727921</v>
      </c>
      <c r="J33" s="745">
        <f>J19+J25+J31</f>
        <v>2195.6110965727921</v>
      </c>
      <c r="K33" s="745">
        <f>K19+K25+K31</f>
        <v>2195.6110965727921</v>
      </c>
      <c r="L33" s="745">
        <f>L19+L25+L31</f>
        <v>2195.6110965727921</v>
      </c>
    </row>
    <row r="34" spans="1:12" ht="6" customHeight="1" x14ac:dyDescent="0.3">
      <c r="A34" s="36"/>
      <c r="B34" s="36"/>
      <c r="C34" s="39"/>
      <c r="D34" s="39"/>
      <c r="E34" s="39"/>
      <c r="F34" s="39"/>
      <c r="G34" s="39"/>
      <c r="H34" s="39"/>
      <c r="I34" s="716"/>
      <c r="J34" s="716"/>
      <c r="K34" s="716"/>
      <c r="L34" s="716"/>
    </row>
    <row r="35" spans="1:12" ht="18" customHeight="1" x14ac:dyDescent="0.3">
      <c r="A35" s="160" t="s">
        <v>986</v>
      </c>
      <c r="B35" s="36"/>
      <c r="C35" s="39"/>
      <c r="D35" s="39"/>
      <c r="E35" s="39"/>
      <c r="F35" s="39"/>
      <c r="G35" s="39"/>
      <c r="H35" s="39"/>
      <c r="I35" s="716"/>
      <c r="J35" s="716"/>
      <c r="K35" s="716"/>
      <c r="L35" s="716"/>
    </row>
    <row r="36" spans="1:12" ht="18" customHeight="1" x14ac:dyDescent="0.3">
      <c r="A36" s="36" t="s">
        <v>987</v>
      </c>
      <c r="B36" s="36"/>
      <c r="C36" s="746">
        <f t="shared" ref="C36:H36" si="10">C19/C33</f>
        <v>0.86088752895252152</v>
      </c>
      <c r="D36" s="746">
        <f t="shared" si="10"/>
        <v>0.82532765507906636</v>
      </c>
      <c r="E36" s="746">
        <f t="shared" si="10"/>
        <v>0.82532765507906647</v>
      </c>
      <c r="F36" s="746">
        <f t="shared" si="10"/>
        <v>0.82532765507906636</v>
      </c>
      <c r="G36" s="746">
        <f t="shared" si="10"/>
        <v>0.82532765507906636</v>
      </c>
      <c r="H36" s="746">
        <f t="shared" si="10"/>
        <v>0.82532765507906636</v>
      </c>
      <c r="I36" s="746">
        <f>I19/I33</f>
        <v>0.82532765507906636</v>
      </c>
      <c r="J36" s="746">
        <f>J19/J33</f>
        <v>0.82532765507906636</v>
      </c>
      <c r="K36" s="746">
        <f>K19/K33</f>
        <v>0.82532765507906636</v>
      </c>
      <c r="L36" s="746">
        <f>L19/L33</f>
        <v>0.82532765507906636</v>
      </c>
    </row>
    <row r="37" spans="1:12" ht="18" customHeight="1" x14ac:dyDescent="0.3">
      <c r="A37" s="252" t="s">
        <v>988</v>
      </c>
      <c r="B37" s="252"/>
      <c r="C37" s="747">
        <f t="shared" ref="C37:H37" si="11">C25/C33</f>
        <v>9.6668169141535892E-2</v>
      </c>
      <c r="D37" s="747">
        <f t="shared" si="11"/>
        <v>0.13192037238783796</v>
      </c>
      <c r="E37" s="747">
        <f t="shared" si="11"/>
        <v>0.13192037238783799</v>
      </c>
      <c r="F37" s="747">
        <f t="shared" si="11"/>
        <v>0.13192037238783799</v>
      </c>
      <c r="G37" s="747">
        <f t="shared" si="11"/>
        <v>0.13192037238783799</v>
      </c>
      <c r="H37" s="747">
        <f t="shared" si="11"/>
        <v>0.13192037238783799</v>
      </c>
      <c r="I37" s="746">
        <f>I25/I33</f>
        <v>0.13192037238783799</v>
      </c>
      <c r="J37" s="746">
        <f>J25/J33</f>
        <v>0.13192037238783799</v>
      </c>
      <c r="K37" s="746">
        <f>K25/K33</f>
        <v>0.13192037238783799</v>
      </c>
      <c r="L37" s="746">
        <f>L25/L33</f>
        <v>0.13192037238783799</v>
      </c>
    </row>
    <row r="38" spans="1:12" ht="18" customHeight="1" x14ac:dyDescent="0.3">
      <c r="A38" s="36" t="s">
        <v>989</v>
      </c>
      <c r="B38" s="36"/>
      <c r="C38" s="746">
        <f t="shared" ref="C38:H38" si="12">C31/C33</f>
        <v>4.2444301905942658E-2</v>
      </c>
      <c r="D38" s="746">
        <f t="shared" si="12"/>
        <v>4.2751972533095636E-2</v>
      </c>
      <c r="E38" s="746">
        <f t="shared" si="12"/>
        <v>4.275197253309565E-2</v>
      </c>
      <c r="F38" s="746">
        <f t="shared" si="12"/>
        <v>4.2751972533095643E-2</v>
      </c>
      <c r="G38" s="746">
        <f t="shared" si="12"/>
        <v>4.2751972533095643E-2</v>
      </c>
      <c r="H38" s="746">
        <f t="shared" si="12"/>
        <v>4.2751972533095643E-2</v>
      </c>
      <c r="I38" s="746">
        <f>I31/I33</f>
        <v>4.2751972533095643E-2</v>
      </c>
      <c r="J38" s="746">
        <f>J31/J33</f>
        <v>4.2751972533095643E-2</v>
      </c>
      <c r="K38" s="746">
        <f>K31/K33</f>
        <v>4.2751972533095643E-2</v>
      </c>
      <c r="L38" s="746">
        <f>L31/L33</f>
        <v>4.2751972533095643E-2</v>
      </c>
    </row>
    <row r="39" spans="1:12" x14ac:dyDescent="0.3">
      <c r="A39" s="48"/>
      <c r="B39" s="48"/>
      <c r="C39" s="48"/>
      <c r="D39" s="48"/>
      <c r="E39" s="48"/>
      <c r="F39" s="48"/>
      <c r="G39" s="48"/>
      <c r="H39" s="48"/>
      <c r="I39" s="48"/>
      <c r="J39" s="48"/>
      <c r="K39" s="48"/>
      <c r="L39" s="48"/>
    </row>
    <row r="40" spans="1:12" ht="14.25" customHeight="1" x14ac:dyDescent="0.3">
      <c r="A40" s="66" t="s">
        <v>990</v>
      </c>
      <c r="B40" s="66"/>
      <c r="C40" s="66"/>
      <c r="D40" s="66"/>
      <c r="E40" s="66"/>
      <c r="F40" s="66"/>
      <c r="G40" s="66"/>
      <c r="H40" s="66"/>
      <c r="I40" s="66"/>
      <c r="J40" s="66"/>
      <c r="K40" s="66"/>
      <c r="L40" s="66"/>
    </row>
    <row r="41" spans="1:12" ht="14.25" customHeight="1" x14ac:dyDescent="0.3">
      <c r="A41" s="159" t="s">
        <v>991</v>
      </c>
      <c r="B41" s="36"/>
      <c r="C41" s="36"/>
      <c r="D41" s="753">
        <f>'Historical FS'!L5</f>
        <v>1871.3300000000002</v>
      </c>
      <c r="E41" s="39"/>
      <c r="F41" s="39"/>
      <c r="G41" s="39"/>
      <c r="H41" s="39"/>
      <c r="I41" s="39"/>
      <c r="J41" s="39"/>
      <c r="K41" s="39"/>
      <c r="L41" s="39"/>
    </row>
    <row r="42" spans="1:12" ht="14.25" customHeight="1" x14ac:dyDescent="0.3">
      <c r="A42" s="159" t="s">
        <v>992</v>
      </c>
      <c r="B42" s="36"/>
      <c r="C42" s="36"/>
      <c r="D42" s="39">
        <f>D33</f>
        <v>1680.3611865727921</v>
      </c>
      <c r="E42" s="39"/>
      <c r="F42" s="39"/>
      <c r="G42" s="39"/>
      <c r="H42" s="39"/>
      <c r="I42" s="39"/>
      <c r="J42" s="39"/>
      <c r="K42" s="39"/>
      <c r="L42" s="39"/>
    </row>
    <row r="43" spans="1:12" ht="14.25" customHeight="1" x14ac:dyDescent="0.3">
      <c r="A43" s="750" t="s">
        <v>993</v>
      </c>
      <c r="B43" s="36"/>
      <c r="C43" s="36"/>
      <c r="D43" s="39">
        <f>D41-D42</f>
        <v>190.96881342720803</v>
      </c>
      <c r="E43" s="39"/>
      <c r="F43" s="39"/>
      <c r="G43" s="39"/>
      <c r="H43" s="39"/>
      <c r="I43" s="39"/>
      <c r="J43" s="39"/>
      <c r="K43" s="39"/>
      <c r="L43" s="39"/>
    </row>
    <row r="44" spans="1:12" ht="14.25" customHeight="1" x14ac:dyDescent="0.3">
      <c r="A44" s="74" t="s">
        <v>994</v>
      </c>
      <c r="B44" s="36"/>
      <c r="C44" s="36"/>
      <c r="D44" s="39"/>
      <c r="E44" s="39"/>
      <c r="F44" s="39"/>
      <c r="G44" s="39"/>
      <c r="H44" s="39"/>
      <c r="I44" s="39"/>
      <c r="J44" s="39"/>
      <c r="K44" s="39"/>
      <c r="L44" s="39"/>
    </row>
    <row r="45" spans="1:12" x14ac:dyDescent="0.3">
      <c r="A45" s="36"/>
      <c r="B45" s="36"/>
      <c r="C45" s="36"/>
      <c r="D45" s="39"/>
      <c r="E45" s="39"/>
      <c r="F45" s="39"/>
      <c r="G45" s="39"/>
      <c r="H45" s="39"/>
      <c r="I45" s="39"/>
      <c r="J45" s="39"/>
      <c r="K45" s="39"/>
      <c r="L45" s="39"/>
    </row>
    <row r="46" spans="1:12" ht="15" thickBot="1" x14ac:dyDescent="0.35">
      <c r="A46" s="667" t="s">
        <v>1122</v>
      </c>
      <c r="B46" s="751"/>
      <c r="C46" s="751"/>
      <c r="D46" s="754"/>
      <c r="E46" s="754"/>
      <c r="F46" s="754"/>
      <c r="G46" s="754"/>
      <c r="H46" s="754"/>
      <c r="I46" s="39"/>
      <c r="J46" s="39"/>
      <c r="K46" s="39"/>
      <c r="L46" s="39"/>
    </row>
    <row r="47" spans="1:12" x14ac:dyDescent="0.3">
      <c r="A47" s="36"/>
      <c r="B47" s="36"/>
      <c r="C47" s="36"/>
      <c r="D47" s="39"/>
      <c r="E47" s="39"/>
      <c r="F47" s="39"/>
      <c r="G47" s="39"/>
      <c r="H47" s="39"/>
      <c r="I47" s="39"/>
      <c r="J47" s="39"/>
      <c r="K47" s="39"/>
      <c r="L47" s="39"/>
    </row>
    <row r="48" spans="1:12" x14ac:dyDescent="0.3">
      <c r="A48" s="668" t="s">
        <v>1123</v>
      </c>
      <c r="B48" s="252"/>
      <c r="C48" s="252"/>
      <c r="D48" s="755">
        <f>D19</f>
        <v>1386.8485578</v>
      </c>
      <c r="E48" s="39"/>
      <c r="F48" s="39"/>
      <c r="G48" s="39"/>
      <c r="H48" s="39"/>
      <c r="I48" s="39"/>
      <c r="J48" s="39"/>
      <c r="K48" s="39"/>
      <c r="L48" s="39"/>
    </row>
    <row r="49" spans="1:12" x14ac:dyDescent="0.3">
      <c r="A49" s="518" t="s">
        <v>1124</v>
      </c>
      <c r="B49" s="36"/>
      <c r="C49" s="36"/>
      <c r="D49" s="756">
        <f>(D41-D25-D31)*10000000/D17</f>
        <v>30717.895464169487</v>
      </c>
      <c r="E49" s="39"/>
      <c r="F49" s="39"/>
      <c r="G49" s="39"/>
      <c r="H49" s="39"/>
      <c r="I49" s="39"/>
      <c r="J49" s="39"/>
      <c r="K49" s="39"/>
      <c r="L49" s="39"/>
    </row>
    <row r="50" spans="1:12" x14ac:dyDescent="0.3">
      <c r="A50" s="518" t="s">
        <v>1125</v>
      </c>
      <c r="B50" s="36"/>
      <c r="C50" s="36"/>
      <c r="D50" s="756">
        <f>D49-D18</f>
        <v>3717.8954641694872</v>
      </c>
      <c r="E50" s="39"/>
      <c r="F50" s="39"/>
      <c r="G50" s="39"/>
      <c r="H50" s="39"/>
      <c r="I50" s="39"/>
      <c r="J50" s="39"/>
      <c r="K50" s="39"/>
      <c r="L50" s="39"/>
    </row>
    <row r="51" spans="1:12" x14ac:dyDescent="0.3">
      <c r="A51" s="518" t="s">
        <v>1126</v>
      </c>
      <c r="B51" s="36"/>
      <c r="C51" s="36"/>
      <c r="D51" s="757">
        <f>D50*D17/10000000</f>
        <v>190.96881342720798</v>
      </c>
      <c r="E51" s="39"/>
      <c r="F51" s="39"/>
      <c r="G51" s="39"/>
      <c r="H51" s="39"/>
      <c r="I51" s="39"/>
      <c r="J51" s="39"/>
      <c r="K51" s="39"/>
      <c r="L51" s="39"/>
    </row>
    <row r="52" spans="1:12" x14ac:dyDescent="0.3">
      <c r="A52" s="669" t="s">
        <v>1127</v>
      </c>
      <c r="B52" s="752"/>
      <c r="C52" s="752"/>
      <c r="D52" s="758">
        <f>D25+D31</f>
        <v>293.51262877279203</v>
      </c>
      <c r="E52" s="39"/>
      <c r="F52" s="39"/>
      <c r="G52" s="39"/>
      <c r="H52" s="39"/>
      <c r="I52" s="39"/>
      <c r="J52" s="39"/>
      <c r="K52" s="39"/>
      <c r="L52" s="39"/>
    </row>
    <row r="53" spans="1:12" x14ac:dyDescent="0.3">
      <c r="A53" s="670" t="s">
        <v>1128</v>
      </c>
      <c r="B53" s="752"/>
      <c r="C53" s="752"/>
      <c r="D53" s="759">
        <f>D33</f>
        <v>1680.3611865727921</v>
      </c>
      <c r="E53" s="39"/>
      <c r="F53" s="39"/>
      <c r="G53" s="39"/>
      <c r="H53" s="39"/>
      <c r="I53" s="39"/>
      <c r="J53" s="39"/>
      <c r="K53" s="39"/>
      <c r="L53" s="39"/>
    </row>
    <row r="54" spans="1:12" x14ac:dyDescent="0.3">
      <c r="A54" s="531" t="s">
        <v>1129</v>
      </c>
      <c r="B54" s="681"/>
      <c r="C54" s="681"/>
      <c r="D54" s="760">
        <f>D41</f>
        <v>1871.3300000000002</v>
      </c>
      <c r="E54" s="39"/>
      <c r="F54" s="39"/>
      <c r="G54" s="39"/>
      <c r="H54" s="39"/>
      <c r="I54" s="39"/>
      <c r="J54" s="39"/>
      <c r="K54" s="39"/>
      <c r="L54" s="39"/>
    </row>
    <row r="55" spans="1:12" x14ac:dyDescent="0.3">
      <c r="A55" s="671" t="s">
        <v>1130</v>
      </c>
      <c r="B55" s="683"/>
      <c r="C55" s="683"/>
      <c r="D55" s="761">
        <f>D54-D53</f>
        <v>190.96881342720803</v>
      </c>
      <c r="E55" s="39"/>
      <c r="F55" s="39"/>
      <c r="G55" s="39"/>
      <c r="H55" s="39"/>
      <c r="I55" s="39"/>
      <c r="J55" s="39"/>
      <c r="K55" s="39"/>
      <c r="L55" s="39"/>
    </row>
    <row r="56" spans="1:12" x14ac:dyDescent="0.3">
      <c r="A56" s="36"/>
      <c r="B56" s="36"/>
      <c r="C56" s="36"/>
      <c r="D56" s="39"/>
      <c r="E56" s="39"/>
      <c r="F56" s="39"/>
      <c r="G56" s="39"/>
      <c r="H56" s="39"/>
      <c r="I56" s="39"/>
      <c r="J56" s="39"/>
      <c r="K56" s="39"/>
      <c r="L56" s="39"/>
    </row>
    <row r="57" spans="1:12" x14ac:dyDescent="0.3">
      <c r="A57" s="74" t="s">
        <v>1131</v>
      </c>
      <c r="B57" s="36"/>
      <c r="C57" s="36"/>
      <c r="D57" s="39"/>
      <c r="E57" s="39"/>
      <c r="F57" s="39"/>
      <c r="G57" s="39"/>
      <c r="H57" s="39"/>
      <c r="I57" s="39"/>
      <c r="J57" s="39"/>
      <c r="K57" s="39"/>
      <c r="L57" s="39"/>
    </row>
  </sheetData>
  <mergeCells count="1">
    <mergeCell ref="A1:H1"/>
  </mergeCells>
  <pageMargins left="0.75" right="0.75" top="1" bottom="1" header="0.511811023622047" footer="0.511811023622047"/>
  <pageSetup paperSize="9"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3"/>
  <sheetViews>
    <sheetView showGridLines="0" zoomScaleNormal="100" workbookViewId="0">
      <selection sqref="A1:H1"/>
    </sheetView>
  </sheetViews>
  <sheetFormatPr defaultColWidth="8.6640625" defaultRowHeight="14.4" x14ac:dyDescent="0.3"/>
  <cols>
    <col min="1" max="1" width="40.77734375" customWidth="1"/>
    <col min="2" max="2" width="11.109375" customWidth="1"/>
    <col min="3" max="12" width="15.77734375" customWidth="1"/>
  </cols>
  <sheetData>
    <row r="1" spans="1:12" ht="24" customHeight="1" x14ac:dyDescent="0.3">
      <c r="A1" s="893" t="s">
        <v>995</v>
      </c>
      <c r="B1" s="893"/>
      <c r="C1" s="893"/>
      <c r="D1" s="893"/>
      <c r="E1" s="893"/>
      <c r="F1" s="893"/>
      <c r="G1" s="893"/>
      <c r="H1" s="893"/>
      <c r="I1" s="79"/>
      <c r="J1" s="79"/>
      <c r="K1" s="79"/>
      <c r="L1" s="79"/>
    </row>
    <row r="2" spans="1:12" ht="18" customHeight="1" x14ac:dyDescent="0.3">
      <c r="A2" s="555" t="s">
        <v>996</v>
      </c>
      <c r="B2" s="555"/>
      <c r="C2" s="555"/>
      <c r="D2" s="555"/>
      <c r="E2" s="555"/>
      <c r="F2" s="555"/>
      <c r="G2" s="555"/>
      <c r="H2" s="555"/>
      <c r="I2" s="60"/>
      <c r="J2" s="60"/>
      <c r="K2" s="60"/>
      <c r="L2" s="60"/>
    </row>
    <row r="3" spans="1:12" ht="6" customHeight="1" x14ac:dyDescent="0.3">
      <c r="A3" s="48"/>
      <c r="B3" s="48"/>
      <c r="C3" s="48"/>
      <c r="D3" s="48"/>
      <c r="E3" s="48"/>
      <c r="F3" s="48"/>
      <c r="G3" s="48"/>
      <c r="H3" s="48"/>
      <c r="I3" s="48"/>
      <c r="J3" s="48"/>
      <c r="K3" s="48"/>
      <c r="L3" s="48"/>
    </row>
    <row r="4" spans="1:12" ht="22.05" customHeight="1" x14ac:dyDescent="0.3">
      <c r="A4" s="917" t="s">
        <v>997</v>
      </c>
      <c r="B4" s="917"/>
      <c r="C4" s="917"/>
      <c r="D4" s="917"/>
      <c r="E4" s="917"/>
      <c r="F4" s="917"/>
      <c r="G4" s="917"/>
      <c r="H4" s="917"/>
      <c r="I4" s="66"/>
      <c r="J4" s="66"/>
      <c r="K4" s="66"/>
      <c r="L4" s="66"/>
    </row>
    <row r="5" spans="1:12" ht="19.95" customHeight="1" x14ac:dyDescent="0.3">
      <c r="A5" s="677" t="s">
        <v>998</v>
      </c>
      <c r="B5" s="677" t="s">
        <v>999</v>
      </c>
      <c r="C5" s="677" t="s">
        <v>144</v>
      </c>
      <c r="D5" s="677" t="s">
        <v>145</v>
      </c>
      <c r="E5" s="677" t="s">
        <v>146</v>
      </c>
      <c r="F5" s="677" t="s">
        <v>147</v>
      </c>
      <c r="G5" s="677" t="s">
        <v>148</v>
      </c>
      <c r="H5" s="677" t="s">
        <v>149</v>
      </c>
      <c r="I5" s="677" t="s">
        <v>1143</v>
      </c>
      <c r="J5" s="677" t="s">
        <v>1144</v>
      </c>
      <c r="K5" s="677" t="s">
        <v>1145</v>
      </c>
      <c r="L5" s="677" t="s">
        <v>1146</v>
      </c>
    </row>
    <row r="6" spans="1:12" ht="18" customHeight="1" x14ac:dyDescent="0.3">
      <c r="A6" s="159" t="s">
        <v>1000</v>
      </c>
      <c r="B6" s="176">
        <v>2.9000000000000001E-2</v>
      </c>
      <c r="C6" s="594" t="s">
        <v>218</v>
      </c>
      <c r="D6" s="76">
        <v>143.05000000000001</v>
      </c>
      <c r="E6" s="699">
        <f t="shared" ref="E6:L6" si="0">D6</f>
        <v>143.05000000000001</v>
      </c>
      <c r="F6" s="699">
        <f t="shared" si="0"/>
        <v>143.05000000000001</v>
      </c>
      <c r="G6" s="699">
        <f t="shared" si="0"/>
        <v>143.05000000000001</v>
      </c>
      <c r="H6" s="699">
        <f t="shared" si="0"/>
        <v>143.05000000000001</v>
      </c>
      <c r="I6" s="699">
        <f t="shared" si="0"/>
        <v>143.05000000000001</v>
      </c>
      <c r="J6" s="699">
        <f t="shared" si="0"/>
        <v>143.05000000000001</v>
      </c>
      <c r="K6" s="699">
        <f t="shared" si="0"/>
        <v>143.05000000000001</v>
      </c>
      <c r="L6" s="699">
        <f t="shared" si="0"/>
        <v>143.05000000000001</v>
      </c>
    </row>
    <row r="7" spans="1:12" ht="18" customHeight="1" x14ac:dyDescent="0.3">
      <c r="A7" s="159" t="s">
        <v>1001</v>
      </c>
      <c r="B7" s="176">
        <v>5.28E-2</v>
      </c>
      <c r="C7" s="594" t="s">
        <v>218</v>
      </c>
      <c r="D7" s="76">
        <v>748.01</v>
      </c>
      <c r="E7" s="699">
        <f t="shared" ref="E7:L7" si="1">D7+D13</f>
        <v>770.36125000000004</v>
      </c>
      <c r="F7" s="699">
        <f t="shared" si="1"/>
        <v>793.27128125000002</v>
      </c>
      <c r="G7" s="699">
        <f t="shared" si="1"/>
        <v>816.75406328125007</v>
      </c>
      <c r="H7" s="699">
        <f t="shared" si="1"/>
        <v>840.82391486328129</v>
      </c>
      <c r="I7" s="699">
        <f t="shared" si="1"/>
        <v>865.49551273486327</v>
      </c>
      <c r="J7" s="699">
        <f t="shared" si="1"/>
        <v>890.78390055323484</v>
      </c>
      <c r="K7" s="699">
        <f t="shared" si="1"/>
        <v>916.70449806706574</v>
      </c>
      <c r="L7" s="699">
        <f t="shared" si="1"/>
        <v>943.27311051874244</v>
      </c>
    </row>
    <row r="8" spans="1:12" ht="18" customHeight="1" x14ac:dyDescent="0.3">
      <c r="A8" s="159" t="s">
        <v>1002</v>
      </c>
      <c r="B8" s="176">
        <v>9.1499999999999998E-2</v>
      </c>
      <c r="C8" s="594" t="s">
        <v>218</v>
      </c>
      <c r="D8" s="76">
        <v>2.35</v>
      </c>
      <c r="E8" s="699">
        <f t="shared" ref="E8:L10" si="2">D8</f>
        <v>2.35</v>
      </c>
      <c r="F8" s="699">
        <f t="shared" si="2"/>
        <v>2.35</v>
      </c>
      <c r="G8" s="699">
        <f t="shared" si="2"/>
        <v>2.35</v>
      </c>
      <c r="H8" s="699">
        <f t="shared" si="2"/>
        <v>2.35</v>
      </c>
      <c r="I8" s="699">
        <f t="shared" si="2"/>
        <v>2.35</v>
      </c>
      <c r="J8" s="699">
        <f t="shared" si="2"/>
        <v>2.35</v>
      </c>
      <c r="K8" s="699">
        <f t="shared" si="2"/>
        <v>2.35</v>
      </c>
      <c r="L8" s="699">
        <f t="shared" si="2"/>
        <v>2.35</v>
      </c>
    </row>
    <row r="9" spans="1:12" ht="18" customHeight="1" x14ac:dyDescent="0.3">
      <c r="A9" s="159" t="s">
        <v>1003</v>
      </c>
      <c r="B9" s="176">
        <v>0.1</v>
      </c>
      <c r="C9" s="594" t="s">
        <v>218</v>
      </c>
      <c r="D9" s="76">
        <v>0.21</v>
      </c>
      <c r="E9" s="699">
        <f t="shared" si="2"/>
        <v>0.21</v>
      </c>
      <c r="F9" s="699">
        <f t="shared" si="2"/>
        <v>0.21</v>
      </c>
      <c r="G9" s="699">
        <f t="shared" si="2"/>
        <v>0.21</v>
      </c>
      <c r="H9" s="699">
        <f t="shared" si="2"/>
        <v>0.21</v>
      </c>
      <c r="I9" s="699">
        <f t="shared" si="2"/>
        <v>0.21</v>
      </c>
      <c r="J9" s="699">
        <f t="shared" si="2"/>
        <v>0.21</v>
      </c>
      <c r="K9" s="699">
        <f t="shared" si="2"/>
        <v>0.21</v>
      </c>
      <c r="L9" s="699">
        <f t="shared" si="2"/>
        <v>0.21</v>
      </c>
    </row>
    <row r="10" spans="1:12" ht="18" customHeight="1" x14ac:dyDescent="0.3">
      <c r="A10" s="159" t="s">
        <v>1004</v>
      </c>
      <c r="B10" s="176">
        <v>0.1188</v>
      </c>
      <c r="C10" s="594" t="s">
        <v>218</v>
      </c>
      <c r="D10" s="76">
        <v>0.43</v>
      </c>
      <c r="E10" s="699">
        <f t="shared" si="2"/>
        <v>0.43</v>
      </c>
      <c r="F10" s="699">
        <f t="shared" si="2"/>
        <v>0.43</v>
      </c>
      <c r="G10" s="699">
        <f t="shared" si="2"/>
        <v>0.43</v>
      </c>
      <c r="H10" s="699">
        <f t="shared" si="2"/>
        <v>0.43</v>
      </c>
      <c r="I10" s="699">
        <f t="shared" si="2"/>
        <v>0.43</v>
      </c>
      <c r="J10" s="699">
        <f t="shared" si="2"/>
        <v>0.43</v>
      </c>
      <c r="K10" s="699">
        <f t="shared" si="2"/>
        <v>0.43</v>
      </c>
      <c r="L10" s="699">
        <f t="shared" si="2"/>
        <v>0.43</v>
      </c>
    </row>
    <row r="11" spans="1:12" ht="18" customHeight="1" x14ac:dyDescent="0.3">
      <c r="A11" s="666" t="s">
        <v>1005</v>
      </c>
      <c r="B11" s="252"/>
      <c r="C11" s="252"/>
      <c r="D11" s="700">
        <f t="shared" ref="D11:L11" si="3">SUM(D6:D10)</f>
        <v>894.05</v>
      </c>
      <c r="E11" s="700">
        <f t="shared" si="3"/>
        <v>916.40125000000012</v>
      </c>
      <c r="F11" s="700">
        <f t="shared" si="3"/>
        <v>939.31128125000009</v>
      </c>
      <c r="G11" s="700">
        <f t="shared" si="3"/>
        <v>962.79406328125015</v>
      </c>
      <c r="H11" s="700">
        <f t="shared" si="3"/>
        <v>986.86391486328125</v>
      </c>
      <c r="I11" s="700">
        <f t="shared" si="3"/>
        <v>1011.5355127348632</v>
      </c>
      <c r="J11" s="700">
        <f t="shared" si="3"/>
        <v>1036.8239005532348</v>
      </c>
      <c r="K11" s="700">
        <f t="shared" si="3"/>
        <v>1062.7444980670657</v>
      </c>
      <c r="L11" s="700">
        <f t="shared" si="3"/>
        <v>1089.3131105187424</v>
      </c>
    </row>
    <row r="12" spans="1:12" ht="6" customHeight="1" x14ac:dyDescent="0.3">
      <c r="A12" s="36"/>
      <c r="B12" s="36"/>
      <c r="C12" s="36"/>
      <c r="D12" s="39"/>
      <c r="E12" s="39"/>
      <c r="F12" s="39"/>
      <c r="G12" s="39"/>
      <c r="H12" s="39"/>
      <c r="I12" s="39"/>
      <c r="J12" s="39"/>
      <c r="K12" s="39"/>
      <c r="L12" s="39"/>
    </row>
    <row r="13" spans="1:12" ht="18" customHeight="1" x14ac:dyDescent="0.3">
      <c r="A13" s="160" t="s">
        <v>1006</v>
      </c>
      <c r="B13" s="36"/>
      <c r="C13" s="36"/>
      <c r="D13" s="75">
        <f>'Assumptions &amp; Drivers'!D60</f>
        <v>22.35125</v>
      </c>
      <c r="E13" s="75">
        <f>'Assumptions &amp; Drivers'!E60</f>
        <v>22.910031250000003</v>
      </c>
      <c r="F13" s="75">
        <f>'Assumptions &amp; Drivers'!F60</f>
        <v>23.48278203125</v>
      </c>
      <c r="G13" s="75">
        <f>'Assumptions &amp; Drivers'!G60</f>
        <v>24.069851582031252</v>
      </c>
      <c r="H13" s="75">
        <f>'Assumptions &amp; Drivers'!H60</f>
        <v>24.671597871582033</v>
      </c>
      <c r="I13" s="75">
        <f>'Assumptions &amp; Drivers'!I60</f>
        <v>25.288387818371582</v>
      </c>
      <c r="J13" s="75">
        <f>'Assumptions &amp; Drivers'!J60</f>
        <v>25.92059751383087</v>
      </c>
      <c r="K13" s="75">
        <f>'Assumptions &amp; Drivers'!K60</f>
        <v>26.568612451676643</v>
      </c>
      <c r="L13" s="75">
        <f>'Assumptions &amp; Drivers'!L60</f>
        <v>27.232827762968562</v>
      </c>
    </row>
    <row r="14" spans="1:12" ht="6" customHeight="1" x14ac:dyDescent="0.3">
      <c r="A14" s="36"/>
      <c r="B14" s="36"/>
      <c r="C14" s="36"/>
      <c r="D14" s="39"/>
      <c r="E14" s="39"/>
      <c r="F14" s="39"/>
      <c r="G14" s="39"/>
      <c r="H14" s="39"/>
      <c r="I14" s="39"/>
      <c r="J14" s="39"/>
      <c r="K14" s="39"/>
      <c r="L14" s="39"/>
    </row>
    <row r="15" spans="1:12" ht="18" customHeight="1" x14ac:dyDescent="0.3">
      <c r="A15" s="188" t="s">
        <v>1007</v>
      </c>
      <c r="B15" s="36"/>
      <c r="C15" s="36"/>
      <c r="D15" s="39"/>
      <c r="E15" s="39"/>
      <c r="F15" s="39"/>
      <c r="G15" s="39"/>
      <c r="H15" s="39"/>
      <c r="I15" s="39"/>
      <c r="J15" s="39"/>
      <c r="K15" s="39"/>
      <c r="L15" s="39"/>
    </row>
    <row r="16" spans="1:12" ht="18" customHeight="1" x14ac:dyDescent="0.3">
      <c r="A16" s="159" t="s">
        <v>1000</v>
      </c>
      <c r="B16" s="176">
        <v>2.9000000000000001E-2</v>
      </c>
      <c r="C16" s="36"/>
      <c r="D16" s="699">
        <f t="shared" ref="D16:L16" si="4">D6*$B$16</f>
        <v>4.1484500000000004</v>
      </c>
      <c r="E16" s="699">
        <f t="shared" si="4"/>
        <v>4.1484500000000004</v>
      </c>
      <c r="F16" s="699">
        <f t="shared" si="4"/>
        <v>4.1484500000000004</v>
      </c>
      <c r="G16" s="699">
        <f t="shared" si="4"/>
        <v>4.1484500000000004</v>
      </c>
      <c r="H16" s="699">
        <f t="shared" si="4"/>
        <v>4.1484500000000004</v>
      </c>
      <c r="I16" s="699">
        <f t="shared" si="4"/>
        <v>4.1484500000000004</v>
      </c>
      <c r="J16" s="699">
        <f t="shared" si="4"/>
        <v>4.1484500000000004</v>
      </c>
      <c r="K16" s="699">
        <f t="shared" si="4"/>
        <v>4.1484500000000004</v>
      </c>
      <c r="L16" s="699">
        <f t="shared" si="4"/>
        <v>4.1484500000000004</v>
      </c>
    </row>
    <row r="17" spans="1:12" ht="18" customHeight="1" x14ac:dyDescent="0.3">
      <c r="A17" s="207" t="s">
        <v>1001</v>
      </c>
      <c r="B17" s="704">
        <v>5.28E-2</v>
      </c>
      <c r="C17" s="207"/>
      <c r="D17" s="616">
        <f t="shared" ref="D17:L17" si="5">(D7+D13/2)*$B$17</f>
        <v>40.085000999999998</v>
      </c>
      <c r="E17" s="616">
        <f t="shared" si="5"/>
        <v>41.279898825000004</v>
      </c>
      <c r="F17" s="616">
        <f t="shared" si="5"/>
        <v>42.504669095625005</v>
      </c>
      <c r="G17" s="616">
        <f t="shared" si="5"/>
        <v>43.760058623015631</v>
      </c>
      <c r="H17" s="616">
        <f t="shared" si="5"/>
        <v>45.046832888591013</v>
      </c>
      <c r="I17" s="616">
        <f t="shared" si="5"/>
        <v>46.365776510805787</v>
      </c>
      <c r="J17" s="616">
        <f t="shared" si="5"/>
        <v>47.717693723575934</v>
      </c>
      <c r="K17" s="616">
        <f t="shared" si="5"/>
        <v>49.103408866665333</v>
      </c>
      <c r="L17" s="616">
        <f t="shared" si="5"/>
        <v>50.52376688833197</v>
      </c>
    </row>
    <row r="18" spans="1:12" ht="18" customHeight="1" x14ac:dyDescent="0.3">
      <c r="A18" s="159" t="s">
        <v>1002</v>
      </c>
      <c r="B18" s="176">
        <v>9.1499999999999998E-2</v>
      </c>
      <c r="C18" s="36"/>
      <c r="D18" s="699">
        <f t="shared" ref="D18:L18" si="6">D8*$B$18</f>
        <v>0.21502499999999999</v>
      </c>
      <c r="E18" s="699">
        <f t="shared" si="6"/>
        <v>0.21502499999999999</v>
      </c>
      <c r="F18" s="699">
        <f t="shared" si="6"/>
        <v>0.21502499999999999</v>
      </c>
      <c r="G18" s="699">
        <f t="shared" si="6"/>
        <v>0.21502499999999999</v>
      </c>
      <c r="H18" s="699">
        <f t="shared" si="6"/>
        <v>0.21502499999999999</v>
      </c>
      <c r="I18" s="699">
        <f t="shared" si="6"/>
        <v>0.21502499999999999</v>
      </c>
      <c r="J18" s="699">
        <f t="shared" si="6"/>
        <v>0.21502499999999999</v>
      </c>
      <c r="K18" s="699">
        <f t="shared" si="6"/>
        <v>0.21502499999999999</v>
      </c>
      <c r="L18" s="699">
        <f t="shared" si="6"/>
        <v>0.21502499999999999</v>
      </c>
    </row>
    <row r="19" spans="1:12" ht="18" customHeight="1" x14ac:dyDescent="0.3">
      <c r="A19" s="159" t="s">
        <v>1003</v>
      </c>
      <c r="B19" s="176">
        <v>0.1</v>
      </c>
      <c r="C19" s="36"/>
      <c r="D19" s="699">
        <f t="shared" ref="D19:L19" si="7">D9*$B$19</f>
        <v>2.1000000000000001E-2</v>
      </c>
      <c r="E19" s="699">
        <f t="shared" si="7"/>
        <v>2.1000000000000001E-2</v>
      </c>
      <c r="F19" s="699">
        <f t="shared" si="7"/>
        <v>2.1000000000000001E-2</v>
      </c>
      <c r="G19" s="699">
        <f t="shared" si="7"/>
        <v>2.1000000000000001E-2</v>
      </c>
      <c r="H19" s="699">
        <f t="shared" si="7"/>
        <v>2.1000000000000001E-2</v>
      </c>
      <c r="I19" s="699">
        <f t="shared" si="7"/>
        <v>2.1000000000000001E-2</v>
      </c>
      <c r="J19" s="699">
        <f t="shared" si="7"/>
        <v>2.1000000000000001E-2</v>
      </c>
      <c r="K19" s="699">
        <f t="shared" si="7"/>
        <v>2.1000000000000001E-2</v>
      </c>
      <c r="L19" s="699">
        <f t="shared" si="7"/>
        <v>2.1000000000000001E-2</v>
      </c>
    </row>
    <row r="20" spans="1:12" ht="18" customHeight="1" x14ac:dyDescent="0.3">
      <c r="A20" s="159" t="s">
        <v>1004</v>
      </c>
      <c r="B20" s="176">
        <v>0.1188</v>
      </c>
      <c r="C20" s="36"/>
      <c r="D20" s="699">
        <f t="shared" ref="D20:L20" si="8">D10*$B$20</f>
        <v>5.1083999999999997E-2</v>
      </c>
      <c r="E20" s="699">
        <f t="shared" si="8"/>
        <v>5.1083999999999997E-2</v>
      </c>
      <c r="F20" s="699">
        <f t="shared" si="8"/>
        <v>5.1083999999999997E-2</v>
      </c>
      <c r="G20" s="699">
        <f t="shared" si="8"/>
        <v>5.1083999999999997E-2</v>
      </c>
      <c r="H20" s="699">
        <f t="shared" si="8"/>
        <v>5.1083999999999997E-2</v>
      </c>
      <c r="I20" s="699">
        <f t="shared" si="8"/>
        <v>5.1083999999999997E-2</v>
      </c>
      <c r="J20" s="699">
        <f t="shared" si="8"/>
        <v>5.1083999999999997E-2</v>
      </c>
      <c r="K20" s="699">
        <f t="shared" si="8"/>
        <v>5.1083999999999997E-2</v>
      </c>
      <c r="L20" s="699">
        <f t="shared" si="8"/>
        <v>5.1083999999999997E-2</v>
      </c>
    </row>
    <row r="21" spans="1:12" ht="18" customHeight="1" x14ac:dyDescent="0.3">
      <c r="A21" s="682" t="s">
        <v>1008</v>
      </c>
      <c r="B21" s="683"/>
      <c r="C21" s="683"/>
      <c r="D21" s="701">
        <f t="shared" ref="D21:L21" si="9">SUM(D16:D20)</f>
        <v>44.520560000000003</v>
      </c>
      <c r="E21" s="701">
        <f t="shared" si="9"/>
        <v>45.715457825000001</v>
      </c>
      <c r="F21" s="701">
        <f t="shared" si="9"/>
        <v>46.940228095625002</v>
      </c>
      <c r="G21" s="701">
        <f t="shared" si="9"/>
        <v>48.195617623015636</v>
      </c>
      <c r="H21" s="701">
        <f t="shared" si="9"/>
        <v>49.48239188859101</v>
      </c>
      <c r="I21" s="701">
        <f t="shared" si="9"/>
        <v>50.801335510805785</v>
      </c>
      <c r="J21" s="701">
        <f t="shared" si="9"/>
        <v>52.153252723575932</v>
      </c>
      <c r="K21" s="701">
        <f t="shared" si="9"/>
        <v>53.538967866665331</v>
      </c>
      <c r="L21" s="701">
        <f t="shared" si="9"/>
        <v>54.959325888331975</v>
      </c>
    </row>
    <row r="22" spans="1:12" ht="6" customHeight="1" x14ac:dyDescent="0.3">
      <c r="A22" s="36"/>
      <c r="B22" s="36"/>
      <c r="C22" s="36"/>
      <c r="D22" s="39"/>
      <c r="E22" s="39"/>
      <c r="F22" s="39"/>
      <c r="G22" s="39"/>
      <c r="H22" s="39"/>
      <c r="I22" s="39"/>
      <c r="J22" s="39"/>
      <c r="K22" s="39"/>
      <c r="L22" s="39"/>
    </row>
    <row r="23" spans="1:12" ht="6" customHeight="1" x14ac:dyDescent="0.3">
      <c r="A23" s="36"/>
      <c r="B23" s="36"/>
      <c r="C23" s="36"/>
      <c r="D23" s="39"/>
      <c r="E23" s="39"/>
      <c r="F23" s="39"/>
      <c r="G23" s="39"/>
      <c r="H23" s="39"/>
      <c r="I23" s="39"/>
      <c r="J23" s="39"/>
      <c r="K23" s="39"/>
      <c r="L23" s="39"/>
    </row>
    <row r="24" spans="1:12" ht="22.05" customHeight="1" x14ac:dyDescent="0.3">
      <c r="A24" s="917" t="s">
        <v>1009</v>
      </c>
      <c r="B24" s="917"/>
      <c r="C24" s="917"/>
      <c r="D24" s="918"/>
      <c r="E24" s="918"/>
      <c r="F24" s="918"/>
      <c r="G24" s="918"/>
      <c r="H24" s="918"/>
      <c r="I24" s="34"/>
      <c r="J24" s="34"/>
      <c r="K24" s="34"/>
      <c r="L24" s="34"/>
    </row>
    <row r="25" spans="1:12" ht="19.95" customHeight="1" x14ac:dyDescent="0.3">
      <c r="A25" s="53" t="s">
        <v>1010</v>
      </c>
      <c r="B25" s="53" t="s">
        <v>1011</v>
      </c>
      <c r="C25" s="53" t="s">
        <v>144</v>
      </c>
      <c r="D25" s="53" t="s">
        <v>145</v>
      </c>
      <c r="E25" s="53" t="s">
        <v>146</v>
      </c>
      <c r="F25" s="53" t="s">
        <v>147</v>
      </c>
      <c r="G25" s="53" t="s">
        <v>148</v>
      </c>
      <c r="H25" s="53" t="s">
        <v>149</v>
      </c>
      <c r="I25" s="53" t="s">
        <v>1143</v>
      </c>
      <c r="J25" s="53" t="s">
        <v>1144</v>
      </c>
      <c r="K25" s="53" t="s">
        <v>1145</v>
      </c>
      <c r="L25" s="53" t="s">
        <v>1146</v>
      </c>
    </row>
    <row r="26" spans="1:12" ht="18" customHeight="1" x14ac:dyDescent="0.3">
      <c r="A26" s="159" t="s">
        <v>1012</v>
      </c>
      <c r="B26" s="176">
        <v>0.1</v>
      </c>
      <c r="C26" s="36"/>
      <c r="D26" s="76">
        <v>36.909999999999997</v>
      </c>
      <c r="E26" s="699">
        <f t="shared" ref="E26:L26" si="10">D26*(1-0.1)</f>
        <v>33.219000000000001</v>
      </c>
      <c r="F26" s="699">
        <f t="shared" si="10"/>
        <v>29.897100000000002</v>
      </c>
      <c r="G26" s="699">
        <f t="shared" si="10"/>
        <v>26.907390000000003</v>
      </c>
      <c r="H26" s="699">
        <f t="shared" si="10"/>
        <v>24.216651000000002</v>
      </c>
      <c r="I26" s="699">
        <f t="shared" si="10"/>
        <v>21.794985900000004</v>
      </c>
      <c r="J26" s="699">
        <f t="shared" si="10"/>
        <v>19.615487310000002</v>
      </c>
      <c r="K26" s="699">
        <f t="shared" si="10"/>
        <v>17.653938579000002</v>
      </c>
      <c r="L26" s="699">
        <f t="shared" si="10"/>
        <v>15.888544721100002</v>
      </c>
    </row>
    <row r="27" spans="1:12" ht="18" customHeight="1" x14ac:dyDescent="0.3">
      <c r="A27" s="159" t="s">
        <v>1013</v>
      </c>
      <c r="B27" s="176">
        <v>0.15</v>
      </c>
      <c r="C27" s="36"/>
      <c r="D27" s="76">
        <v>350</v>
      </c>
      <c r="E27" s="699">
        <f t="shared" ref="E27:L27" si="11">(D27*(1-0.15))+D13</f>
        <v>319.85124999999999</v>
      </c>
      <c r="F27" s="699">
        <f t="shared" si="11"/>
        <v>294.78359375000002</v>
      </c>
      <c r="G27" s="699">
        <f t="shared" si="11"/>
        <v>274.04883671875001</v>
      </c>
      <c r="H27" s="699">
        <f t="shared" si="11"/>
        <v>257.01136279296878</v>
      </c>
      <c r="I27" s="699">
        <f t="shared" si="11"/>
        <v>243.1312562456055</v>
      </c>
      <c r="J27" s="699">
        <f t="shared" si="11"/>
        <v>231.94995562713623</v>
      </c>
      <c r="K27" s="699">
        <f t="shared" si="11"/>
        <v>223.07805979689667</v>
      </c>
      <c r="L27" s="699">
        <f t="shared" si="11"/>
        <v>216.18496327903881</v>
      </c>
    </row>
    <row r="28" spans="1:12" ht="18" customHeight="1" x14ac:dyDescent="0.3">
      <c r="A28" s="159" t="s">
        <v>1014</v>
      </c>
      <c r="B28" s="176">
        <v>0.1</v>
      </c>
      <c r="C28" s="36"/>
      <c r="D28" s="76">
        <v>1.5</v>
      </c>
      <c r="E28" s="699">
        <f t="shared" ref="E28:L28" si="12">D28*(1-0.1)</f>
        <v>1.35</v>
      </c>
      <c r="F28" s="699">
        <f t="shared" si="12"/>
        <v>1.2150000000000001</v>
      </c>
      <c r="G28" s="699">
        <f t="shared" si="12"/>
        <v>1.0935000000000001</v>
      </c>
      <c r="H28" s="699">
        <f t="shared" si="12"/>
        <v>0.98415000000000019</v>
      </c>
      <c r="I28" s="699">
        <f t="shared" si="12"/>
        <v>0.88573500000000016</v>
      </c>
      <c r="J28" s="699">
        <f t="shared" si="12"/>
        <v>0.79716150000000019</v>
      </c>
      <c r="K28" s="699">
        <f t="shared" si="12"/>
        <v>0.7174453500000002</v>
      </c>
      <c r="L28" s="699">
        <f t="shared" si="12"/>
        <v>0.64570081500000021</v>
      </c>
    </row>
    <row r="29" spans="1:12" ht="18" customHeight="1" x14ac:dyDescent="0.3">
      <c r="A29" s="159" t="s">
        <v>1015</v>
      </c>
      <c r="B29" s="176">
        <v>0.15</v>
      </c>
      <c r="C29" s="36"/>
      <c r="D29" s="76">
        <v>0.13</v>
      </c>
      <c r="E29" s="699">
        <f t="shared" ref="E29:L29" si="13">D29*(1-0.15)</f>
        <v>0.1105</v>
      </c>
      <c r="F29" s="699">
        <f t="shared" si="13"/>
        <v>9.3924999999999995E-2</v>
      </c>
      <c r="G29" s="699">
        <f t="shared" si="13"/>
        <v>7.9836249999999997E-2</v>
      </c>
      <c r="H29" s="699">
        <f t="shared" si="13"/>
        <v>6.7860812499999992E-2</v>
      </c>
      <c r="I29" s="699">
        <f t="shared" si="13"/>
        <v>5.768169062499999E-2</v>
      </c>
      <c r="J29" s="699">
        <f t="shared" si="13"/>
        <v>4.9029437031249991E-2</v>
      </c>
      <c r="K29" s="699">
        <f t="shared" si="13"/>
        <v>4.167502147656249E-2</v>
      </c>
      <c r="L29" s="699">
        <f t="shared" si="13"/>
        <v>3.5423768255078113E-2</v>
      </c>
    </row>
    <row r="30" spans="1:12" ht="18" customHeight="1" x14ac:dyDescent="0.3">
      <c r="A30" s="36"/>
      <c r="B30" s="36"/>
      <c r="C30" s="36"/>
      <c r="D30" s="39"/>
      <c r="E30" s="39"/>
      <c r="F30" s="39"/>
      <c r="G30" s="39"/>
      <c r="H30" s="39"/>
      <c r="I30" s="39"/>
      <c r="J30" s="39"/>
      <c r="K30" s="39"/>
      <c r="L30" s="39"/>
    </row>
    <row r="31" spans="1:12" ht="18" customHeight="1" x14ac:dyDescent="0.3">
      <c r="A31" s="188" t="s">
        <v>1016</v>
      </c>
      <c r="B31" s="36"/>
      <c r="C31" s="36"/>
      <c r="D31" s="702">
        <f t="shared" ref="D31:L31" si="14">D26*$B$26+(D27+D13/2)*$B$27+D28*$B$28+D29*$B$29</f>
        <v>58.036843750000003</v>
      </c>
      <c r="E31" s="702">
        <f t="shared" si="14"/>
        <v>53.169414843749998</v>
      </c>
      <c r="F31" s="702">
        <f t="shared" si="14"/>
        <v>49.104046464843755</v>
      </c>
      <c r="G31" s="702">
        <f t="shared" si="14"/>
        <v>45.724628813964841</v>
      </c>
      <c r="H31" s="702">
        <f t="shared" si="14"/>
        <v>42.932333481188962</v>
      </c>
      <c r="I31" s="702">
        <f t="shared" si="14"/>
        <v>40.643041866812446</v>
      </c>
      <c r="J31" s="702">
        <f t="shared" si="14"/>
        <v>38.785157454162437</v>
      </c>
      <c r="K31" s="702">
        <f t="shared" si="14"/>
        <v>37.297744549531735</v>
      </c>
      <c r="L31" s="702">
        <f t="shared" si="14"/>
        <v>36.128944692926723</v>
      </c>
    </row>
    <row r="32" spans="1:12" ht="6" customHeight="1" x14ac:dyDescent="0.3">
      <c r="A32" s="36"/>
      <c r="B32" s="36"/>
      <c r="C32" s="36"/>
      <c r="D32" s="39"/>
      <c r="E32" s="39"/>
      <c r="F32" s="39"/>
      <c r="G32" s="39"/>
      <c r="H32" s="39"/>
      <c r="I32" s="39"/>
      <c r="J32" s="39"/>
      <c r="K32" s="39"/>
      <c r="L32" s="39"/>
    </row>
    <row r="33" spans="1:12" ht="18" customHeight="1" x14ac:dyDescent="0.3">
      <c r="A33" s="190" t="s">
        <v>1017</v>
      </c>
      <c r="B33" s="74"/>
      <c r="C33" s="74"/>
      <c r="D33" s="703">
        <f t="shared" ref="D33:L33" si="15">D21-D31</f>
        <v>-13.516283749999999</v>
      </c>
      <c r="E33" s="703">
        <f t="shared" si="15"/>
        <v>-7.4539570187499962</v>
      </c>
      <c r="F33" s="703">
        <f t="shared" si="15"/>
        <v>-2.1638183692187525</v>
      </c>
      <c r="G33" s="703">
        <f t="shared" si="15"/>
        <v>2.4709888090507945</v>
      </c>
      <c r="H33" s="703">
        <f t="shared" si="15"/>
        <v>6.550058407402048</v>
      </c>
      <c r="I33" s="703">
        <f t="shared" si="15"/>
        <v>10.158293643993339</v>
      </c>
      <c r="J33" s="703">
        <f t="shared" si="15"/>
        <v>13.368095269413494</v>
      </c>
      <c r="K33" s="703">
        <f t="shared" si="15"/>
        <v>16.241223317133596</v>
      </c>
      <c r="L33" s="703">
        <f t="shared" si="15"/>
        <v>18.830381195405252</v>
      </c>
    </row>
  </sheetData>
  <mergeCells count="3">
    <mergeCell ref="A1:H1"/>
    <mergeCell ref="A4:H4"/>
    <mergeCell ref="A24:H24"/>
  </mergeCells>
  <pageMargins left="0.75" right="0.75" top="1" bottom="1" header="0.511811023622047" footer="0.511811023622047"/>
  <pageSetup paperSize="9" orientation="portrait" horizontalDpi="300" verticalDpi="300"/>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0"/>
  <sheetViews>
    <sheetView showGridLines="0" zoomScaleNormal="100" workbookViewId="0">
      <selection activeCell="D16" sqref="D16"/>
    </sheetView>
  </sheetViews>
  <sheetFormatPr defaultColWidth="8.6640625" defaultRowHeight="14.4" x14ac:dyDescent="0.3"/>
  <cols>
    <col min="1" max="1" width="46.33203125" customWidth="1"/>
    <col min="2" max="2" width="13" customWidth="1"/>
    <col min="3" max="12" width="15.77734375" customWidth="1"/>
  </cols>
  <sheetData>
    <row r="1" spans="1:12" ht="24" customHeight="1" x14ac:dyDescent="0.3">
      <c r="A1" s="893" t="s">
        <v>1018</v>
      </c>
      <c r="B1" s="893"/>
      <c r="C1" s="893"/>
      <c r="D1" s="893"/>
      <c r="E1" s="893"/>
      <c r="F1" s="893"/>
      <c r="G1" s="893"/>
      <c r="H1" s="893"/>
      <c r="I1" s="79"/>
      <c r="J1" s="79"/>
      <c r="K1" s="79"/>
      <c r="L1" s="79"/>
    </row>
    <row r="2" spans="1:12" ht="18" customHeight="1" x14ac:dyDescent="0.3">
      <c r="A2" s="555" t="s">
        <v>1019</v>
      </c>
      <c r="B2" s="555"/>
      <c r="C2" s="555"/>
      <c r="D2" s="555"/>
      <c r="E2" s="555"/>
      <c r="F2" s="555"/>
      <c r="G2" s="555"/>
      <c r="H2" s="555"/>
      <c r="I2" s="60"/>
      <c r="J2" s="60"/>
      <c r="K2" s="60"/>
      <c r="L2" s="60"/>
    </row>
    <row r="3" spans="1:12" ht="6" customHeight="1" x14ac:dyDescent="0.3">
      <c r="A3" s="48"/>
      <c r="B3" s="48"/>
      <c r="C3" s="48"/>
      <c r="D3" s="48"/>
      <c r="E3" s="48"/>
      <c r="F3" s="48"/>
      <c r="G3" s="48"/>
      <c r="H3" s="48"/>
      <c r="I3" s="48"/>
      <c r="J3" s="48"/>
      <c r="K3" s="48"/>
      <c r="L3" s="48"/>
    </row>
    <row r="4" spans="1:12" ht="22.05" customHeight="1" x14ac:dyDescent="0.3">
      <c r="A4" s="684" t="s">
        <v>1020</v>
      </c>
      <c r="B4" s="684"/>
      <c r="C4" s="78"/>
      <c r="D4" s="78"/>
      <c r="E4" s="78"/>
      <c r="F4" s="78"/>
      <c r="G4" s="78"/>
      <c r="H4" s="78"/>
      <c r="I4" s="78"/>
      <c r="J4" s="78"/>
      <c r="K4" s="78"/>
      <c r="L4" s="78"/>
    </row>
    <row r="5" spans="1:12" ht="18" customHeight="1" x14ac:dyDescent="0.3">
      <c r="A5" s="675" t="s">
        <v>1021</v>
      </c>
      <c r="B5" s="765">
        <v>0.25168000000000001</v>
      </c>
      <c r="C5" s="675"/>
      <c r="D5" s="675"/>
      <c r="E5" s="675"/>
      <c r="F5" s="675"/>
      <c r="G5" s="675"/>
      <c r="H5" s="675"/>
      <c r="I5" s="675"/>
      <c r="J5" s="675"/>
      <c r="K5" s="675"/>
      <c r="L5" s="675"/>
    </row>
    <row r="6" spans="1:12" ht="18" customHeight="1" x14ac:dyDescent="0.3">
      <c r="A6" s="36" t="s">
        <v>1022</v>
      </c>
      <c r="B6" s="766">
        <v>0.17471999999999999</v>
      </c>
      <c r="C6" s="36"/>
      <c r="D6" s="36"/>
      <c r="E6" s="36"/>
      <c r="F6" s="36"/>
      <c r="G6" s="36"/>
      <c r="H6" s="36"/>
      <c r="I6" s="48"/>
      <c r="J6" s="48"/>
      <c r="K6" s="48"/>
      <c r="L6" s="48"/>
    </row>
    <row r="7" spans="1:12" ht="18" customHeight="1" x14ac:dyDescent="0.3">
      <c r="A7" s="36"/>
      <c r="B7" s="36"/>
      <c r="C7" s="36"/>
      <c r="D7" s="36"/>
      <c r="E7" s="36"/>
      <c r="F7" s="36"/>
      <c r="G7" s="36"/>
      <c r="H7" s="36"/>
      <c r="I7" s="48"/>
      <c r="J7" s="48"/>
      <c r="K7" s="48"/>
      <c r="L7" s="48"/>
    </row>
    <row r="8" spans="1:12" ht="18" customHeight="1" x14ac:dyDescent="0.3">
      <c r="A8" s="160" t="s">
        <v>1023</v>
      </c>
      <c r="B8" s="36"/>
      <c r="C8" s="52" t="s">
        <v>144</v>
      </c>
      <c r="D8" s="52" t="s">
        <v>145</v>
      </c>
      <c r="E8" s="52" t="s">
        <v>146</v>
      </c>
      <c r="F8" s="52" t="s">
        <v>147</v>
      </c>
      <c r="G8" s="52" t="s">
        <v>148</v>
      </c>
      <c r="H8" s="52" t="s">
        <v>149</v>
      </c>
      <c r="I8" s="52" t="s">
        <v>1143</v>
      </c>
      <c r="J8" s="52" t="s">
        <v>1144</v>
      </c>
      <c r="K8" s="52" t="s">
        <v>1145</v>
      </c>
      <c r="L8" s="52" t="s">
        <v>1146</v>
      </c>
    </row>
    <row r="9" spans="1:12" ht="18" customHeight="1" x14ac:dyDescent="0.3">
      <c r="A9" s="188" t="s">
        <v>1024</v>
      </c>
      <c r="B9" s="36"/>
      <c r="C9" s="36"/>
      <c r="D9" s="36"/>
      <c r="E9" s="36"/>
      <c r="F9" s="36"/>
      <c r="G9" s="36"/>
      <c r="H9" s="36"/>
      <c r="I9" s="36"/>
      <c r="J9" s="36"/>
      <c r="K9" s="36"/>
      <c r="L9" s="36"/>
    </row>
    <row r="10" spans="1:12" ht="18" customHeight="1" x14ac:dyDescent="0.3">
      <c r="A10" s="159" t="s">
        <v>1025</v>
      </c>
      <c r="B10" s="36"/>
      <c r="C10" s="444">
        <f>'The 3-Statement Projection'!B23</f>
        <v>131.85999999999973</v>
      </c>
      <c r="D10" s="687">
        <f>'The 3-Statement Projection'!C23</f>
        <v>154.65000000000012</v>
      </c>
      <c r="E10" s="687">
        <f ca="1">'The 3-Statement Projection'!D23</f>
        <v>301.75683751133704</v>
      </c>
      <c r="F10" s="687">
        <f ca="1">'The 3-Statement Projection'!E23</f>
        <v>266.96615822820405</v>
      </c>
      <c r="G10" s="687">
        <f ca="1">'The 3-Statement Projection'!F23</f>
        <v>281.09117470901106</v>
      </c>
      <c r="H10" s="687">
        <f ca="1">'The 3-Statement Projection'!G23</f>
        <v>288.40762263658144</v>
      </c>
      <c r="I10" s="687">
        <f ca="1">'The 3-Statement Projection'!H23</f>
        <v>291.1521790143666</v>
      </c>
      <c r="J10" s="687">
        <f ca="1">'The 3-Statement Projection'!I23</f>
        <v>293.8502618015965</v>
      </c>
      <c r="K10" s="687">
        <f ca="1">'The 3-Statement Projection'!J23</f>
        <v>296.51454665850707</v>
      </c>
      <c r="L10" s="687">
        <f ca="1">'The 3-Statement Projection'!K23</f>
        <v>299.14418863684045</v>
      </c>
    </row>
    <row r="11" spans="1:12" ht="18" customHeight="1" x14ac:dyDescent="0.3">
      <c r="A11" s="159" t="s">
        <v>1026</v>
      </c>
      <c r="B11" s="36"/>
      <c r="C11" s="444">
        <f>'The 3-Statement Projection'!B18</f>
        <v>21.11</v>
      </c>
      <c r="D11" s="687">
        <f>'The 3-Statement Projection'!C18</f>
        <v>30.98</v>
      </c>
      <c r="E11" s="687">
        <f>'The 3-Statement Projection'!D18</f>
        <v>45.715457825000001</v>
      </c>
      <c r="F11" s="687">
        <f>'The 3-Statement Projection'!E18</f>
        <v>46.940228095625002</v>
      </c>
      <c r="G11" s="687">
        <f>'The 3-Statement Projection'!F18</f>
        <v>48.195617623015636</v>
      </c>
      <c r="H11" s="687">
        <f>'The 3-Statement Projection'!G18</f>
        <v>49.48239188859101</v>
      </c>
      <c r="I11" s="687">
        <f>'The 3-Statement Projection'!H18</f>
        <v>50.801335510805785</v>
      </c>
      <c r="J11" s="687">
        <f>'The 3-Statement Projection'!I18</f>
        <v>52.153252723575932</v>
      </c>
      <c r="K11" s="687">
        <f>'The 3-Statement Projection'!J18</f>
        <v>53.538967866665331</v>
      </c>
      <c r="L11" s="687">
        <f>'The 3-Statement Projection'!K18</f>
        <v>54.959325888331975</v>
      </c>
    </row>
    <row r="12" spans="1:12" ht="18" customHeight="1" x14ac:dyDescent="0.3">
      <c r="A12" s="159" t="s">
        <v>1027</v>
      </c>
      <c r="B12" s="36"/>
      <c r="C12" s="159">
        <v>0</v>
      </c>
      <c r="D12" s="687">
        <f>-'Depreciation Schedule'!D31</f>
        <v>-58.036843750000003</v>
      </c>
      <c r="E12" s="687">
        <f>-'Depreciation Schedule'!E31</f>
        <v>-53.169414843749998</v>
      </c>
      <c r="F12" s="687">
        <f>-'Depreciation Schedule'!F31</f>
        <v>-49.104046464843755</v>
      </c>
      <c r="G12" s="687">
        <f>-'Depreciation Schedule'!G31</f>
        <v>-45.724628813964841</v>
      </c>
      <c r="H12" s="687">
        <f>-'Depreciation Schedule'!H31</f>
        <v>-42.932333481188962</v>
      </c>
      <c r="I12" s="687">
        <f>-'Depreciation Schedule'!I31</f>
        <v>-40.643041866812446</v>
      </c>
      <c r="J12" s="687">
        <f>-'Depreciation Schedule'!J31</f>
        <v>-38.785157454162437</v>
      </c>
      <c r="K12" s="687">
        <f>-'Depreciation Schedule'!K31</f>
        <v>-37.297744549531735</v>
      </c>
      <c r="L12" s="687">
        <f>-'Depreciation Schedule'!L31</f>
        <v>-36.128944692926723</v>
      </c>
    </row>
    <row r="13" spans="1:12" ht="18" customHeight="1" x14ac:dyDescent="0.3">
      <c r="A13" s="160" t="s">
        <v>1028</v>
      </c>
      <c r="B13" s="36"/>
      <c r="C13" s="440">
        <f t="shared" ref="C13:H13" si="0">C10+C11+C12</f>
        <v>152.96999999999974</v>
      </c>
      <c r="D13" s="688">
        <f t="shared" si="0"/>
        <v>127.59315625000011</v>
      </c>
      <c r="E13" s="688">
        <f t="shared" ca="1" si="0"/>
        <v>294.30288049258701</v>
      </c>
      <c r="F13" s="688">
        <f t="shared" ca="1" si="0"/>
        <v>264.80233985898531</v>
      </c>
      <c r="G13" s="688">
        <f t="shared" ca="1" si="0"/>
        <v>283.56216351806188</v>
      </c>
      <c r="H13" s="688">
        <f t="shared" ca="1" si="0"/>
        <v>294.95768104398348</v>
      </c>
      <c r="I13" s="688">
        <f t="shared" ref="I13:J13" ca="1" si="1">I10+I11+I12</f>
        <v>301.31047265835997</v>
      </c>
      <c r="J13" s="688">
        <f t="shared" ca="1" si="1"/>
        <v>307.21835707100996</v>
      </c>
      <c r="K13" s="688">
        <f t="shared" ref="K13:L13" ca="1" si="2">K10+K11+K12</f>
        <v>312.7557699756407</v>
      </c>
      <c r="L13" s="688">
        <f t="shared" ca="1" si="2"/>
        <v>317.97456983224572</v>
      </c>
    </row>
    <row r="14" spans="1:12" ht="18" customHeight="1" x14ac:dyDescent="0.3">
      <c r="A14" s="159" t="s">
        <v>1029</v>
      </c>
      <c r="B14" s="36"/>
      <c r="C14" s="445">
        <v>0</v>
      </c>
      <c r="D14" s="689">
        <f>-MIN(D13,INDEX('Scenario Engine'!$B$62:$D$62,MATCH('Scenario Engine'!$B$3,{"Bull","Base","Bear"},0)))</f>
        <v>-36.26</v>
      </c>
      <c r="E14" s="689">
        <v>0</v>
      </c>
      <c r="F14" s="689">
        <v>0</v>
      </c>
      <c r="G14" s="689">
        <v>0</v>
      </c>
      <c r="H14" s="689">
        <v>0</v>
      </c>
      <c r="I14" s="689">
        <v>0</v>
      </c>
      <c r="J14" s="689">
        <v>0</v>
      </c>
      <c r="K14" s="689">
        <v>0</v>
      </c>
      <c r="L14" s="689">
        <v>0</v>
      </c>
    </row>
    <row r="15" spans="1:12" ht="18" customHeight="1" x14ac:dyDescent="0.3">
      <c r="A15" s="207" t="s">
        <v>1030</v>
      </c>
      <c r="B15" s="207"/>
      <c r="C15" s="673">
        <f t="shared" ref="C15:H15" si="3">C13+C14</f>
        <v>152.96999999999974</v>
      </c>
      <c r="D15" s="690">
        <f t="shared" si="3"/>
        <v>91.333156250000116</v>
      </c>
      <c r="E15" s="690">
        <f t="shared" ca="1" si="3"/>
        <v>294.30288049258701</v>
      </c>
      <c r="F15" s="690">
        <f t="shared" ca="1" si="3"/>
        <v>264.80233985898531</v>
      </c>
      <c r="G15" s="690">
        <f t="shared" ca="1" si="3"/>
        <v>283.56216351806188</v>
      </c>
      <c r="H15" s="690">
        <f t="shared" ca="1" si="3"/>
        <v>294.95768104398348</v>
      </c>
      <c r="I15" s="690">
        <f t="shared" ref="I15:J15" ca="1" si="4">I13+I14</f>
        <v>301.31047265835997</v>
      </c>
      <c r="J15" s="690">
        <f t="shared" ca="1" si="4"/>
        <v>307.21835707100996</v>
      </c>
      <c r="K15" s="690">
        <f t="shared" ref="K15:L15" ca="1" si="5">K13+K14</f>
        <v>312.7557699756407</v>
      </c>
      <c r="L15" s="690">
        <f t="shared" ca="1" si="5"/>
        <v>317.97456983224572</v>
      </c>
    </row>
    <row r="16" spans="1:12" ht="18" customHeight="1" x14ac:dyDescent="0.3">
      <c r="A16" s="160" t="s">
        <v>1031</v>
      </c>
      <c r="B16" s="36"/>
      <c r="C16" s="440">
        <f t="shared" ref="C16:H16" si="6">MAX(0,C15)*$B$5</f>
        <v>38.49948959999994</v>
      </c>
      <c r="D16" s="688">
        <f t="shared" si="6"/>
        <v>22.986728765000031</v>
      </c>
      <c r="E16" s="688">
        <f t="shared" ca="1" si="6"/>
        <v>74.070148962374304</v>
      </c>
      <c r="F16" s="688">
        <f t="shared" ca="1" si="6"/>
        <v>66.645452895709425</v>
      </c>
      <c r="G16" s="688">
        <f t="shared" ca="1" si="6"/>
        <v>71.366925314225824</v>
      </c>
      <c r="H16" s="688">
        <f t="shared" ca="1" si="6"/>
        <v>74.234949165149771</v>
      </c>
      <c r="I16" s="688">
        <f t="shared" ref="I16:J16" ca="1" si="7">MAX(0,I15)*$B$5</f>
        <v>75.833819758656048</v>
      </c>
      <c r="J16" s="688">
        <f t="shared" ca="1" si="7"/>
        <v>77.320716107631796</v>
      </c>
      <c r="K16" s="688">
        <f t="shared" ref="K16:L16" ca="1" si="8">MAX(0,K15)*$B$5</f>
        <v>78.714372187469252</v>
      </c>
      <c r="L16" s="688">
        <f t="shared" ca="1" si="8"/>
        <v>80.027839735379601</v>
      </c>
    </row>
    <row r="17" spans="1:12" ht="18" customHeight="1" x14ac:dyDescent="0.3">
      <c r="A17" s="36"/>
      <c r="B17" s="36"/>
      <c r="C17" s="36"/>
      <c r="D17" s="36"/>
      <c r="E17" s="36"/>
      <c r="F17" s="36"/>
      <c r="G17" s="36"/>
      <c r="H17" s="36"/>
      <c r="I17" s="36"/>
      <c r="J17" s="36"/>
      <c r="K17" s="36"/>
      <c r="L17" s="36"/>
    </row>
    <row r="18" spans="1:12" ht="22.05" customHeight="1" x14ac:dyDescent="0.3">
      <c r="A18" s="679" t="s">
        <v>1032</v>
      </c>
      <c r="B18" s="685"/>
      <c r="C18" s="685"/>
      <c r="D18" s="685"/>
      <c r="E18" s="685"/>
      <c r="F18" s="685"/>
      <c r="G18" s="685"/>
      <c r="H18" s="685"/>
      <c r="I18" s="685"/>
      <c r="J18" s="685"/>
      <c r="K18" s="685"/>
      <c r="L18" s="685"/>
    </row>
    <row r="19" spans="1:12" ht="18" customHeight="1" x14ac:dyDescent="0.3">
      <c r="A19" s="159" t="s">
        <v>1033</v>
      </c>
      <c r="B19" s="36"/>
      <c r="C19" s="444">
        <f>'The 3-Statement Projection'!B23</f>
        <v>131.85999999999973</v>
      </c>
      <c r="D19" s="687">
        <f>'The 3-Statement Projection'!C23</f>
        <v>154.65000000000012</v>
      </c>
      <c r="E19" s="687">
        <f ca="1">'The 3-Statement Projection'!D23</f>
        <v>301.75683751133704</v>
      </c>
      <c r="F19" s="687">
        <f ca="1">'The 3-Statement Projection'!E23</f>
        <v>266.96615822820405</v>
      </c>
      <c r="G19" s="687">
        <f ca="1">'The 3-Statement Projection'!F23</f>
        <v>281.09117470901106</v>
      </c>
      <c r="H19" s="687">
        <f ca="1">'The 3-Statement Projection'!G23</f>
        <v>288.40762263658144</v>
      </c>
      <c r="I19" s="687">
        <f ca="1">'The 3-Statement Projection'!H23</f>
        <v>291.1521790143666</v>
      </c>
      <c r="J19" s="687">
        <f ca="1">'The 3-Statement Projection'!I23</f>
        <v>293.8502618015965</v>
      </c>
      <c r="K19" s="687">
        <f ca="1">'The 3-Statement Projection'!J23</f>
        <v>296.51454665850707</v>
      </c>
      <c r="L19" s="687">
        <f ca="1">'The 3-Statement Projection'!K23</f>
        <v>299.14418863684045</v>
      </c>
    </row>
    <row r="20" spans="1:12" ht="18" customHeight="1" x14ac:dyDescent="0.3">
      <c r="A20" s="160" t="s">
        <v>1034</v>
      </c>
      <c r="B20" s="36"/>
      <c r="C20" s="440">
        <f t="shared" ref="C20:H20" si="9">MAX(0,C19)*$B$6</f>
        <v>23.038579199999951</v>
      </c>
      <c r="D20" s="688">
        <f t="shared" si="9"/>
        <v>27.02044800000002</v>
      </c>
      <c r="E20" s="688">
        <f t="shared" ca="1" si="9"/>
        <v>52.722954649980807</v>
      </c>
      <c r="F20" s="688">
        <f t="shared" ca="1" si="9"/>
        <v>46.644327165631807</v>
      </c>
      <c r="G20" s="688">
        <f t="shared" ca="1" si="9"/>
        <v>49.112250045158405</v>
      </c>
      <c r="H20" s="688">
        <f t="shared" ca="1" si="9"/>
        <v>50.390579827063505</v>
      </c>
      <c r="I20" s="688">
        <f t="shared" ref="I20:J20" ca="1" si="10">MAX(0,I19)*$B$6</f>
        <v>50.870108717390124</v>
      </c>
      <c r="J20" s="688">
        <f t="shared" ca="1" si="10"/>
        <v>51.34151774197494</v>
      </c>
      <c r="K20" s="688">
        <f t="shared" ref="K20:L20" ca="1" si="11">MAX(0,K19)*$B$6</f>
        <v>51.807021592174351</v>
      </c>
      <c r="L20" s="688">
        <f t="shared" ca="1" si="11"/>
        <v>52.266472638628763</v>
      </c>
    </row>
    <row r="21" spans="1:12" ht="18" customHeight="1" x14ac:dyDescent="0.3">
      <c r="A21" s="36"/>
      <c r="B21" s="36"/>
      <c r="C21" s="36"/>
      <c r="D21" s="36"/>
      <c r="E21" s="36"/>
      <c r="F21" s="36"/>
      <c r="G21" s="36"/>
      <c r="H21" s="36"/>
      <c r="I21" s="36"/>
      <c r="J21" s="36"/>
      <c r="K21" s="36"/>
      <c r="L21" s="36"/>
    </row>
    <row r="22" spans="1:12" ht="22.05" customHeight="1" x14ac:dyDescent="0.3">
      <c r="A22" s="674" t="s">
        <v>1035</v>
      </c>
      <c r="B22" s="686"/>
      <c r="C22" s="686"/>
      <c r="D22" s="686"/>
      <c r="E22" s="686"/>
      <c r="F22" s="686"/>
      <c r="G22" s="686"/>
      <c r="H22" s="686"/>
      <c r="I22" s="686"/>
      <c r="J22" s="686"/>
      <c r="K22" s="686"/>
      <c r="L22" s="686"/>
    </row>
    <row r="23" spans="1:12" ht="18" customHeight="1" x14ac:dyDescent="0.3">
      <c r="A23" s="682" t="s">
        <v>1036</v>
      </c>
      <c r="B23" s="683"/>
      <c r="C23" s="691">
        <f t="shared" ref="C23:H23" si="12">MAX(C16,C20)</f>
        <v>38.49948959999994</v>
      </c>
      <c r="D23" s="692">
        <f t="shared" si="12"/>
        <v>27.02044800000002</v>
      </c>
      <c r="E23" s="692">
        <f t="shared" ca="1" si="12"/>
        <v>74.070148962374304</v>
      </c>
      <c r="F23" s="692">
        <f t="shared" ca="1" si="12"/>
        <v>66.645452895709425</v>
      </c>
      <c r="G23" s="692">
        <f t="shared" ca="1" si="12"/>
        <v>71.366925314225824</v>
      </c>
      <c r="H23" s="692">
        <f t="shared" ca="1" si="12"/>
        <v>74.234949165149771</v>
      </c>
      <c r="I23" s="692">
        <f t="shared" ref="I23:J23" ca="1" si="13">MAX(I16,I20)</f>
        <v>75.833819758656048</v>
      </c>
      <c r="J23" s="692">
        <f t="shared" ca="1" si="13"/>
        <v>77.320716107631796</v>
      </c>
      <c r="K23" s="692">
        <f t="shared" ref="K23:L23" ca="1" si="14">MAX(K16,K20)</f>
        <v>78.714372187469252</v>
      </c>
      <c r="L23" s="692">
        <f t="shared" ca="1" si="14"/>
        <v>80.027839735379601</v>
      </c>
    </row>
    <row r="24" spans="1:12" ht="18" customHeight="1" x14ac:dyDescent="0.3">
      <c r="A24" s="159" t="s">
        <v>552</v>
      </c>
      <c r="B24" s="36"/>
      <c r="C24" s="237">
        <f t="shared" ref="C24:H24" si="15">IF(C19&gt;0,C23/C19,0)</f>
        <v>0.29197246776884589</v>
      </c>
      <c r="D24" s="237">
        <f t="shared" si="15"/>
        <v>0.17471999999999999</v>
      </c>
      <c r="E24" s="237">
        <f t="shared" ca="1" si="15"/>
        <v>0.24546303432011374</v>
      </c>
      <c r="F24" s="237">
        <f t="shared" ca="1" si="15"/>
        <v>0.24964007924457807</v>
      </c>
      <c r="G24" s="237">
        <f t="shared" ca="1" si="15"/>
        <v>0.25389244393071292</v>
      </c>
      <c r="H24" s="237">
        <f t="shared" ca="1" si="15"/>
        <v>0.25739593318132314</v>
      </c>
      <c r="I24" s="237">
        <f t="shared" ref="I24:J24" ca="1" si="16">IF(I19&gt;0,I23/I19,0)</f>
        <v>0.26046111011559392</v>
      </c>
      <c r="J24" s="237">
        <f t="shared" ca="1" si="16"/>
        <v>0.26312964852771731</v>
      </c>
      <c r="K24" s="237">
        <f t="shared" ref="K24:L24" ca="1" si="17">IF(K19&gt;0,K23/K19,0)</f>
        <v>0.2654654656053817</v>
      </c>
      <c r="L24" s="237">
        <f t="shared" ca="1" si="17"/>
        <v>0.2675226288033728</v>
      </c>
    </row>
    <row r="25" spans="1:12" ht="18" customHeight="1" x14ac:dyDescent="0.3">
      <c r="A25" s="159" t="s">
        <v>1037</v>
      </c>
      <c r="B25" s="36"/>
      <c r="C25" s="159" t="str">
        <f t="shared" ref="C25:H25" si="18">IF(C20&gt;C16,"MAT","CIT")</f>
        <v>CIT</v>
      </c>
      <c r="D25" s="159" t="str">
        <f t="shared" si="18"/>
        <v>MAT</v>
      </c>
      <c r="E25" s="159" t="str">
        <f t="shared" ca="1" si="18"/>
        <v>CIT</v>
      </c>
      <c r="F25" s="159" t="str">
        <f t="shared" ca="1" si="18"/>
        <v>CIT</v>
      </c>
      <c r="G25" s="159" t="str">
        <f t="shared" ca="1" si="18"/>
        <v>CIT</v>
      </c>
      <c r="H25" s="159" t="str">
        <f t="shared" ca="1" si="18"/>
        <v>CIT</v>
      </c>
      <c r="I25" s="159" t="str">
        <f t="shared" ref="I25:J25" ca="1" si="19">IF(I20&gt;I16,"MAT","CIT")</f>
        <v>CIT</v>
      </c>
      <c r="J25" s="159" t="str">
        <f t="shared" ca="1" si="19"/>
        <v>CIT</v>
      </c>
      <c r="K25" s="159" t="str">
        <f t="shared" ref="K25:L25" ca="1" si="20">IF(K20&gt;K16,"MAT","CIT")</f>
        <v>CIT</v>
      </c>
      <c r="L25" s="159" t="str">
        <f t="shared" ca="1" si="20"/>
        <v>CIT</v>
      </c>
    </row>
    <row r="26" spans="1:12" ht="18" customHeight="1" x14ac:dyDescent="0.3">
      <c r="A26" s="36"/>
      <c r="B26" s="36"/>
      <c r="C26" s="36"/>
      <c r="D26" s="36"/>
      <c r="E26" s="36"/>
      <c r="F26" s="36"/>
      <c r="G26" s="36"/>
      <c r="H26" s="36"/>
      <c r="I26" s="36"/>
      <c r="J26" s="36"/>
      <c r="K26" s="36"/>
      <c r="L26" s="36"/>
    </row>
    <row r="27" spans="1:12" ht="18" customHeight="1" x14ac:dyDescent="0.3">
      <c r="A27" s="188" t="s">
        <v>1038</v>
      </c>
      <c r="B27" s="36"/>
      <c r="C27" s="36"/>
      <c r="D27" s="36"/>
      <c r="E27" s="36"/>
      <c r="F27" s="36"/>
      <c r="G27" s="36"/>
      <c r="H27" s="36"/>
      <c r="I27" s="36"/>
      <c r="J27" s="36"/>
      <c r="K27" s="36"/>
      <c r="L27" s="36"/>
    </row>
    <row r="28" spans="1:12" ht="18" customHeight="1" x14ac:dyDescent="0.3">
      <c r="A28" s="159" t="s">
        <v>1039</v>
      </c>
      <c r="B28" s="36"/>
      <c r="C28" s="445">
        <v>66.16</v>
      </c>
      <c r="D28" s="672">
        <f t="shared" ref="D28:L28" si="21">C30</f>
        <v>66.16</v>
      </c>
      <c r="E28" s="672">
        <f t="shared" si="21"/>
        <v>72.900000000000006</v>
      </c>
      <c r="F28" s="672">
        <f t="shared" si="21"/>
        <v>74.776011902478999</v>
      </c>
      <c r="G28" s="672">
        <f t="shared" si="21"/>
        <v>75.320601709643981</v>
      </c>
      <c r="H28" s="672">
        <f t="shared" si="21"/>
        <v>74.698703246182077</v>
      </c>
      <c r="I28" s="672">
        <f t="shared" si="21"/>
        <v>73.050184546207134</v>
      </c>
      <c r="J28" s="672">
        <f t="shared" si="21"/>
        <v>70.493545201886889</v>
      </c>
      <c r="K28" s="672">
        <f t="shared" si="21"/>
        <v>67.129062984480896</v>
      </c>
      <c r="L28" s="672">
        <f t="shared" si="21"/>
        <v>63.04147190002471</v>
      </c>
    </row>
    <row r="29" spans="1:12" ht="18" customHeight="1" x14ac:dyDescent="0.3">
      <c r="A29" s="159" t="s">
        <v>1040</v>
      </c>
      <c r="B29" s="36"/>
      <c r="C29" s="672">
        <v>0</v>
      </c>
      <c r="D29" s="672">
        <f>'Historical FS'!L61-C28</f>
        <v>6.7400000000000091</v>
      </c>
      <c r="E29" s="672">
        <f>-'Depreciation Schedule'!E33*$B$5</f>
        <v>1.8760119024789992</v>
      </c>
      <c r="F29" s="672">
        <f>-'Depreciation Schedule'!F33*$B$5</f>
        <v>0.54458980716497563</v>
      </c>
      <c r="G29" s="672">
        <f>-'Depreciation Schedule'!G33*$B$5</f>
        <v>-0.62189846346190403</v>
      </c>
      <c r="H29" s="672">
        <f>-'Depreciation Schedule'!H33*$B$5</f>
        <v>-1.6485186999749475</v>
      </c>
      <c r="I29" s="672">
        <f>-'Depreciation Schedule'!I33*$B$5</f>
        <v>-2.5566393443202435</v>
      </c>
      <c r="J29" s="672">
        <f>-'Depreciation Schedule'!J33*$B$5</f>
        <v>-3.3644822174059885</v>
      </c>
      <c r="K29" s="672">
        <f>-'Depreciation Schedule'!K33*$B$5</f>
        <v>-4.0875910844561831</v>
      </c>
      <c r="L29" s="672">
        <f>-'Depreciation Schedule'!L33*$B$5</f>
        <v>-4.7392303392595938</v>
      </c>
    </row>
    <row r="30" spans="1:12" ht="18" customHeight="1" x14ac:dyDescent="0.3">
      <c r="A30" s="160" t="s">
        <v>1041</v>
      </c>
      <c r="B30" s="36"/>
      <c r="C30" s="442">
        <f>C28+C29</f>
        <v>66.16</v>
      </c>
      <c r="D30" s="442">
        <f>'Historical FS'!L61</f>
        <v>72.900000000000006</v>
      </c>
      <c r="E30" s="442">
        <f t="shared" ref="E30:L30" si="22">E28+E29</f>
        <v>74.776011902478999</v>
      </c>
      <c r="F30" s="442">
        <f t="shared" si="22"/>
        <v>75.320601709643981</v>
      </c>
      <c r="G30" s="442">
        <f t="shared" si="22"/>
        <v>74.698703246182077</v>
      </c>
      <c r="H30" s="442">
        <f t="shared" si="22"/>
        <v>73.050184546207134</v>
      </c>
      <c r="I30" s="442">
        <f t="shared" si="22"/>
        <v>70.493545201886889</v>
      </c>
      <c r="J30" s="442">
        <f t="shared" si="22"/>
        <v>67.129062984480896</v>
      </c>
      <c r="K30" s="442">
        <f t="shared" si="22"/>
        <v>63.04147190002471</v>
      </c>
      <c r="L30" s="442">
        <f t="shared" si="22"/>
        <v>58.302241560765118</v>
      </c>
    </row>
  </sheetData>
  <mergeCells count="1">
    <mergeCell ref="A1:H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25"/>
  <sheetViews>
    <sheetView showGridLines="0" zoomScaleNormal="100" workbookViewId="0">
      <selection activeCell="E19" sqref="E19"/>
    </sheetView>
  </sheetViews>
  <sheetFormatPr defaultColWidth="8.6640625" defaultRowHeight="14.4" x14ac:dyDescent="0.3"/>
  <cols>
    <col min="1" max="1" width="42.5546875" customWidth="1"/>
    <col min="2" max="2" width="9.21875" customWidth="1"/>
    <col min="3" max="12" width="15.77734375" customWidth="1"/>
  </cols>
  <sheetData>
    <row r="1" spans="1:13" ht="24" customHeight="1" x14ac:dyDescent="0.3">
      <c r="A1" s="893" t="s">
        <v>1042</v>
      </c>
      <c r="B1" s="893"/>
      <c r="C1" s="893"/>
      <c r="D1" s="893"/>
      <c r="E1" s="893"/>
      <c r="F1" s="893"/>
      <c r="G1" s="893"/>
      <c r="H1" s="893"/>
      <c r="I1" s="79"/>
      <c r="J1" s="79"/>
      <c r="K1" s="79"/>
      <c r="L1" s="79"/>
    </row>
    <row r="2" spans="1:13" ht="18" customHeight="1" x14ac:dyDescent="0.3">
      <c r="A2" s="555" t="s">
        <v>1043</v>
      </c>
      <c r="B2" s="555"/>
      <c r="C2" s="555"/>
      <c r="D2" s="555"/>
      <c r="E2" s="555"/>
      <c r="F2" s="555"/>
      <c r="G2" s="555"/>
      <c r="H2" s="555"/>
      <c r="I2" s="60"/>
      <c r="J2" s="60"/>
      <c r="K2" s="60"/>
      <c r="L2" s="60"/>
    </row>
    <row r="3" spans="1:13" ht="6" customHeight="1" x14ac:dyDescent="0.3">
      <c r="A3" s="48"/>
      <c r="B3" s="48"/>
      <c r="C3" s="48"/>
      <c r="D3" s="48"/>
      <c r="E3" s="48"/>
      <c r="F3" s="48"/>
      <c r="G3" s="48"/>
      <c r="H3" s="48"/>
      <c r="I3" s="48"/>
      <c r="J3" s="48"/>
      <c r="K3" s="48"/>
      <c r="L3" s="48"/>
    </row>
    <row r="4" spans="1:13" ht="22.05" customHeight="1" x14ac:dyDescent="0.3">
      <c r="A4" s="684" t="s">
        <v>1044</v>
      </c>
      <c r="B4" s="684" t="s">
        <v>1045</v>
      </c>
      <c r="C4" s="78" t="s">
        <v>144</v>
      </c>
      <c r="D4" s="78" t="s">
        <v>145</v>
      </c>
      <c r="E4" s="78" t="s">
        <v>146</v>
      </c>
      <c r="F4" s="78" t="s">
        <v>147</v>
      </c>
      <c r="G4" s="78" t="s">
        <v>148</v>
      </c>
      <c r="H4" s="78" t="s">
        <v>149</v>
      </c>
      <c r="I4" s="78" t="s">
        <v>1143</v>
      </c>
      <c r="J4" s="78" t="s">
        <v>1144</v>
      </c>
      <c r="K4" s="78" t="s">
        <v>1145</v>
      </c>
      <c r="L4" s="78" t="s">
        <v>1146</v>
      </c>
    </row>
    <row r="5" spans="1:13" ht="22.05" customHeight="1" x14ac:dyDescent="0.3">
      <c r="A5" s="675" t="s">
        <v>1046</v>
      </c>
      <c r="B5" s="675"/>
      <c r="C5" s="675"/>
      <c r="D5" s="675"/>
      <c r="E5" s="675"/>
      <c r="F5" s="675"/>
      <c r="G5" s="675"/>
      <c r="H5" s="675"/>
      <c r="I5" s="675"/>
      <c r="J5" s="675"/>
      <c r="K5" s="675"/>
      <c r="L5" s="675"/>
    </row>
    <row r="6" spans="1:13" ht="18" customHeight="1" x14ac:dyDescent="0.3">
      <c r="A6" s="36" t="s">
        <v>1047</v>
      </c>
      <c r="B6" s="36"/>
      <c r="C6" s="706">
        <f>'Balance Sheet Summary'!J27</f>
        <v>327.35000000000002</v>
      </c>
      <c r="D6" s="707">
        <f t="shared" ref="D6:L6" si="0">C8</f>
        <v>324.01</v>
      </c>
      <c r="E6" s="707">
        <f t="shared" si="0"/>
        <v>285.07</v>
      </c>
      <c r="F6" s="707">
        <f t="shared" si="0"/>
        <v>431.29999999999995</v>
      </c>
      <c r="G6" s="707">
        <f t="shared" si="0"/>
        <v>396.9</v>
      </c>
      <c r="H6" s="707">
        <f t="shared" si="0"/>
        <v>351.79999999999995</v>
      </c>
      <c r="I6" s="707">
        <f t="shared" si="0"/>
        <v>306.49999999999994</v>
      </c>
      <c r="J6" s="707">
        <f t="shared" si="0"/>
        <v>261.49999999999994</v>
      </c>
      <c r="K6" s="707">
        <f t="shared" si="0"/>
        <v>216.49999999999994</v>
      </c>
      <c r="L6" s="707">
        <f t="shared" si="0"/>
        <v>171.49999999999994</v>
      </c>
    </row>
    <row r="7" spans="1:13" ht="18" customHeight="1" x14ac:dyDescent="0.3">
      <c r="A7" s="36" t="s">
        <v>1048</v>
      </c>
      <c r="B7" s="36"/>
      <c r="C7" s="706">
        <f>'Balance Sheet Summary'!K27-'Balance Sheet Summary'!J27</f>
        <v>-3.3400000000000318</v>
      </c>
      <c r="D7" s="708">
        <v>-38.94</v>
      </c>
      <c r="E7" s="708">
        <v>146.22999999999999</v>
      </c>
      <c r="F7" s="708">
        <v>-34.4</v>
      </c>
      <c r="G7" s="708">
        <v>-45.1</v>
      </c>
      <c r="H7" s="708">
        <v>-45.3</v>
      </c>
      <c r="I7" s="708">
        <v>-45</v>
      </c>
      <c r="J7" s="708">
        <v>-45</v>
      </c>
      <c r="K7" s="708">
        <v>-45</v>
      </c>
      <c r="L7" s="708">
        <v>-45</v>
      </c>
    </row>
    <row r="8" spans="1:13" ht="18" customHeight="1" x14ac:dyDescent="0.3">
      <c r="A8" s="160" t="s">
        <v>1049</v>
      </c>
      <c r="B8" s="162"/>
      <c r="C8" s="709">
        <f>'Balance Sheet Summary'!K27</f>
        <v>324.01</v>
      </c>
      <c r="D8" s="710">
        <f t="shared" ref="D8:L8" si="1">D6+D7</f>
        <v>285.07</v>
      </c>
      <c r="E8" s="710">
        <f t="shared" si="1"/>
        <v>431.29999999999995</v>
      </c>
      <c r="F8" s="710">
        <f t="shared" si="1"/>
        <v>396.9</v>
      </c>
      <c r="G8" s="710">
        <f t="shared" si="1"/>
        <v>351.79999999999995</v>
      </c>
      <c r="H8" s="710">
        <f t="shared" si="1"/>
        <v>306.49999999999994</v>
      </c>
      <c r="I8" s="710">
        <f t="shared" si="1"/>
        <v>261.49999999999994</v>
      </c>
      <c r="J8" s="710">
        <f t="shared" si="1"/>
        <v>216.49999999999994</v>
      </c>
      <c r="K8" s="710">
        <f t="shared" si="1"/>
        <v>171.49999999999994</v>
      </c>
      <c r="L8" s="710">
        <f t="shared" si="1"/>
        <v>126.49999999999994</v>
      </c>
    </row>
    <row r="9" spans="1:13" ht="18" customHeight="1" x14ac:dyDescent="0.3">
      <c r="A9" s="159" t="s">
        <v>1050</v>
      </c>
      <c r="B9" s="705">
        <v>0.09</v>
      </c>
      <c r="C9" s="711">
        <f>(C6+C8)/2*$B$9</f>
        <v>29.311199999999999</v>
      </c>
      <c r="D9" s="75">
        <f t="shared" ref="D9:L9" si="2">((D6+D8)/2)*$B$9</f>
        <v>27.408599999999996</v>
      </c>
      <c r="E9" s="75">
        <f t="shared" si="2"/>
        <v>32.236649999999997</v>
      </c>
      <c r="F9" s="75">
        <f t="shared" si="2"/>
        <v>37.268999999999998</v>
      </c>
      <c r="G9" s="75">
        <f t="shared" si="2"/>
        <v>33.691499999999998</v>
      </c>
      <c r="H9" s="75">
        <f t="shared" si="2"/>
        <v>29.623499999999996</v>
      </c>
      <c r="I9" s="75">
        <f t="shared" si="2"/>
        <v>25.559999999999995</v>
      </c>
      <c r="J9" s="75">
        <f t="shared" si="2"/>
        <v>21.509999999999994</v>
      </c>
      <c r="K9" s="75">
        <f t="shared" si="2"/>
        <v>17.459999999999994</v>
      </c>
      <c r="L9" s="75">
        <f t="shared" si="2"/>
        <v>13.409999999999995</v>
      </c>
    </row>
    <row r="10" spans="1:13" ht="6" customHeight="1" x14ac:dyDescent="0.3">
      <c r="A10" s="36"/>
      <c r="B10" s="36"/>
      <c r="C10" s="39"/>
      <c r="D10" s="39"/>
      <c r="E10" s="39"/>
      <c r="F10" s="39"/>
      <c r="G10" s="39"/>
      <c r="H10" s="39"/>
      <c r="I10" s="39"/>
      <c r="J10" s="39"/>
      <c r="K10" s="39"/>
      <c r="L10" s="39"/>
    </row>
    <row r="11" spans="1:13" ht="22.05" customHeight="1" x14ac:dyDescent="0.3">
      <c r="A11" s="675" t="s">
        <v>1051</v>
      </c>
      <c r="B11" s="675"/>
      <c r="C11" s="677"/>
      <c r="D11" s="677"/>
      <c r="E11" s="677"/>
      <c r="F11" s="677"/>
      <c r="G11" s="677"/>
      <c r="H11" s="677"/>
      <c r="I11" s="677"/>
      <c r="J11" s="677"/>
      <c r="K11" s="677"/>
      <c r="L11" s="677"/>
    </row>
    <row r="12" spans="1:13" ht="18" customHeight="1" x14ac:dyDescent="0.3">
      <c r="A12" s="36" t="s">
        <v>1052</v>
      </c>
      <c r="B12" s="36"/>
      <c r="C12" s="706">
        <v>0</v>
      </c>
      <c r="D12" s="707">
        <f t="shared" ref="D12:L12" si="3">C14</f>
        <v>147</v>
      </c>
      <c r="E12" s="707">
        <f t="shared" si="3"/>
        <v>260.75</v>
      </c>
      <c r="F12" s="707">
        <f t="shared" si="3"/>
        <v>151.80000000000001</v>
      </c>
      <c r="G12" s="707">
        <f t="shared" si="3"/>
        <v>4.8000000000000114</v>
      </c>
      <c r="H12" s="796">
        <f t="shared" si="3"/>
        <v>1.1546319456101628E-14</v>
      </c>
      <c r="I12" s="796">
        <f t="shared" si="3"/>
        <v>1.1546319456101628E-14</v>
      </c>
      <c r="J12" s="796">
        <f t="shared" si="3"/>
        <v>1.1546319456101628E-14</v>
      </c>
      <c r="K12" s="796">
        <f t="shared" si="3"/>
        <v>1.1546319456101628E-14</v>
      </c>
      <c r="L12" s="796">
        <f t="shared" si="3"/>
        <v>1.1546319456101628E-14</v>
      </c>
      <c r="M12" s="797"/>
    </row>
    <row r="13" spans="1:13" ht="18" customHeight="1" x14ac:dyDescent="0.3">
      <c r="A13" s="36" t="s">
        <v>1048</v>
      </c>
      <c r="B13" s="36"/>
      <c r="C13" s="706">
        <v>147</v>
      </c>
      <c r="D13" s="708">
        <v>113.75</v>
      </c>
      <c r="E13" s="708">
        <v>-108.95</v>
      </c>
      <c r="F13" s="708">
        <v>-147</v>
      </c>
      <c r="G13" s="798">
        <v>-4.8</v>
      </c>
      <c r="H13" s="798">
        <v>0</v>
      </c>
      <c r="I13" s="798">
        <v>0</v>
      </c>
      <c r="J13" s="798">
        <v>0</v>
      </c>
      <c r="K13" s="798">
        <v>0</v>
      </c>
      <c r="L13" s="798">
        <v>0</v>
      </c>
      <c r="M13" s="797"/>
    </row>
    <row r="14" spans="1:13" ht="18" customHeight="1" x14ac:dyDescent="0.3">
      <c r="A14" s="160" t="s">
        <v>1053</v>
      </c>
      <c r="B14" s="162"/>
      <c r="C14" s="709">
        <f t="shared" ref="C14:H14" si="4">C12+C13</f>
        <v>147</v>
      </c>
      <c r="D14" s="710">
        <f t="shared" si="4"/>
        <v>260.75</v>
      </c>
      <c r="E14" s="710">
        <f t="shared" si="4"/>
        <v>151.80000000000001</v>
      </c>
      <c r="F14" s="710">
        <f t="shared" si="4"/>
        <v>4.8000000000000114</v>
      </c>
      <c r="G14" s="799">
        <f t="shared" si="4"/>
        <v>1.1546319456101628E-14</v>
      </c>
      <c r="H14" s="799">
        <f t="shared" si="4"/>
        <v>1.1546319456101628E-14</v>
      </c>
      <c r="I14" s="799">
        <f>I12+I13</f>
        <v>1.1546319456101628E-14</v>
      </c>
      <c r="J14" s="799">
        <f>J12+J13</f>
        <v>1.1546319456101628E-14</v>
      </c>
      <c r="K14" s="799">
        <f>K12+K13</f>
        <v>1.1546319456101628E-14</v>
      </c>
      <c r="L14" s="799">
        <f>L12+L13</f>
        <v>1.1546319456101628E-14</v>
      </c>
      <c r="M14" s="797"/>
    </row>
    <row r="15" spans="1:13" ht="18" customHeight="1" x14ac:dyDescent="0.3">
      <c r="A15" s="36" t="s">
        <v>1054</v>
      </c>
      <c r="B15" s="705">
        <v>0.06</v>
      </c>
      <c r="C15" s="711">
        <f>(C12+C14)/2*$B$15</f>
        <v>4.41</v>
      </c>
      <c r="D15" s="75">
        <f t="shared" ref="D15:L15" si="5">((D12+D14)/2)*$B$15</f>
        <v>12.2325</v>
      </c>
      <c r="E15" s="75">
        <f t="shared" si="5"/>
        <v>12.3765</v>
      </c>
      <c r="F15" s="75">
        <f t="shared" si="5"/>
        <v>4.6980000000000004</v>
      </c>
      <c r="G15" s="75">
        <f t="shared" si="5"/>
        <v>0.14400000000000068</v>
      </c>
      <c r="H15" s="75">
        <f t="shared" si="5"/>
        <v>6.927791673660977E-16</v>
      </c>
      <c r="I15" s="75">
        <f t="shared" si="5"/>
        <v>6.927791673660977E-16</v>
      </c>
      <c r="J15" s="75">
        <f t="shared" si="5"/>
        <v>6.927791673660977E-16</v>
      </c>
      <c r="K15" s="75">
        <f t="shared" si="5"/>
        <v>6.927791673660977E-16</v>
      </c>
      <c r="L15" s="75">
        <f t="shared" si="5"/>
        <v>6.927791673660977E-16</v>
      </c>
      <c r="M15" s="797"/>
    </row>
    <row r="16" spans="1:13" ht="6" customHeight="1" x14ac:dyDescent="0.3">
      <c r="A16" s="36"/>
      <c r="B16" s="36"/>
      <c r="C16" s="39"/>
      <c r="D16" s="39"/>
      <c r="E16" s="39"/>
      <c r="F16" s="39"/>
      <c r="G16" s="39"/>
      <c r="H16" s="39"/>
      <c r="I16" s="39"/>
      <c r="J16" s="39"/>
      <c r="K16" s="39"/>
      <c r="L16" s="39"/>
    </row>
    <row r="17" spans="1:13" ht="22.05" customHeight="1" x14ac:dyDescent="0.3">
      <c r="A17" s="675" t="s">
        <v>1055</v>
      </c>
      <c r="B17" s="675"/>
      <c r="C17" s="677"/>
      <c r="D17" s="677"/>
      <c r="E17" s="677"/>
      <c r="F17" s="677"/>
      <c r="G17" s="677"/>
      <c r="H17" s="677"/>
      <c r="I17" s="677"/>
      <c r="J17" s="677"/>
      <c r="K17" s="677"/>
      <c r="L17" s="677"/>
    </row>
    <row r="18" spans="1:13" ht="18" customHeight="1" x14ac:dyDescent="0.3">
      <c r="A18" s="36" t="s">
        <v>1254</v>
      </c>
      <c r="B18" s="36"/>
      <c r="C18" s="706">
        <v>0.81</v>
      </c>
      <c r="D18" s="706">
        <v>0</v>
      </c>
      <c r="E18" s="706">
        <f ca="1">'The 3-Statement Projection'!D46</f>
        <v>30</v>
      </c>
      <c r="F18" s="706">
        <f ca="1">'The 3-Statement Projection'!E46</f>
        <v>17.418709056135015</v>
      </c>
      <c r="G18" s="706">
        <f ca="1">'The 3-Statement Projection'!F46</f>
        <v>0</v>
      </c>
      <c r="H18" s="706">
        <f ca="1">'The 3-Statement Projection'!G46</f>
        <v>0</v>
      </c>
      <c r="I18" s="712">
        <f ca="1">'The 3-Statement Projection'!H46</f>
        <v>0</v>
      </c>
      <c r="J18" s="712">
        <f ca="1">'The 3-Statement Projection'!I46</f>
        <v>0</v>
      </c>
      <c r="K18" s="712">
        <f ca="1">'The 3-Statement Projection'!J46</f>
        <v>0</v>
      </c>
      <c r="L18" s="712">
        <f ca="1">'The 3-Statement Projection'!K46</f>
        <v>0</v>
      </c>
    </row>
    <row r="19" spans="1:13" ht="18" customHeight="1" x14ac:dyDescent="0.3">
      <c r="A19" s="36" t="s">
        <v>1056</v>
      </c>
      <c r="B19" s="705">
        <v>0.09</v>
      </c>
      <c r="C19" s="711">
        <f>C18*$B$19</f>
        <v>7.2900000000000006E-2</v>
      </c>
      <c r="D19" s="75">
        <f>D18*$B$19</f>
        <v>0</v>
      </c>
      <c r="E19" s="712">
        <f ca="1">E18*$B$19</f>
        <v>2.6999999999999997</v>
      </c>
      <c r="F19" s="712">
        <f t="shared" ref="F19:L19" ca="1" si="6">F18*$B$19</f>
        <v>1.5676838150521513</v>
      </c>
      <c r="G19" s="712">
        <f t="shared" ca="1" si="6"/>
        <v>0</v>
      </c>
      <c r="H19" s="712">
        <f t="shared" ca="1" si="6"/>
        <v>0</v>
      </c>
      <c r="I19" s="712">
        <f t="shared" ca="1" si="6"/>
        <v>0</v>
      </c>
      <c r="J19" s="712">
        <f t="shared" ca="1" si="6"/>
        <v>0</v>
      </c>
      <c r="K19" s="712">
        <f t="shared" ca="1" si="6"/>
        <v>0</v>
      </c>
      <c r="L19" s="712">
        <f t="shared" ca="1" si="6"/>
        <v>0</v>
      </c>
    </row>
    <row r="20" spans="1:13" ht="22.05" customHeight="1" x14ac:dyDescent="0.3">
      <c r="A20" s="675" t="s">
        <v>1057</v>
      </c>
      <c r="B20" s="675"/>
      <c r="C20" s="677"/>
      <c r="D20" s="677"/>
      <c r="E20" s="677"/>
      <c r="F20" s="677"/>
      <c r="G20" s="677"/>
      <c r="H20" s="677"/>
      <c r="I20" s="677"/>
      <c r="J20" s="677"/>
      <c r="K20" s="677"/>
      <c r="L20" s="677"/>
    </row>
    <row r="21" spans="1:13" ht="18" customHeight="1" x14ac:dyDescent="0.3">
      <c r="A21" s="259" t="s">
        <v>1058</v>
      </c>
      <c r="B21" s="36"/>
      <c r="C21" s="706">
        <v>0</v>
      </c>
      <c r="D21" s="706">
        <v>1.87</v>
      </c>
      <c r="E21" s="706">
        <v>12.04</v>
      </c>
      <c r="F21" s="706">
        <v>2.79</v>
      </c>
      <c r="G21" s="706">
        <v>1.5</v>
      </c>
      <c r="H21" s="706">
        <v>1.5</v>
      </c>
      <c r="I21" s="706">
        <v>1.5</v>
      </c>
      <c r="J21" s="706">
        <v>1.5</v>
      </c>
      <c r="K21" s="706">
        <v>1.5</v>
      </c>
      <c r="L21" s="706">
        <v>1.5</v>
      </c>
    </row>
    <row r="22" spans="1:13" ht="6" customHeight="1" x14ac:dyDescent="0.3">
      <c r="A22" s="36"/>
      <c r="B22" s="36"/>
      <c r="C22" s="39"/>
      <c r="D22" s="39"/>
      <c r="E22" s="39"/>
      <c r="F22" s="39"/>
      <c r="G22" s="39"/>
      <c r="H22" s="39"/>
      <c r="I22" s="39"/>
      <c r="J22" s="39"/>
      <c r="K22" s="39"/>
      <c r="L22" s="39"/>
    </row>
    <row r="23" spans="1:13" ht="22.05" customHeight="1" x14ac:dyDescent="0.3">
      <c r="A23" s="674" t="s">
        <v>1059</v>
      </c>
      <c r="B23" s="686"/>
      <c r="C23" s="713"/>
      <c r="D23" s="713"/>
      <c r="E23" s="713"/>
      <c r="F23" s="713"/>
      <c r="G23" s="713"/>
      <c r="H23" s="713"/>
      <c r="I23" s="713"/>
      <c r="J23" s="713"/>
      <c r="K23" s="713"/>
      <c r="L23" s="713"/>
    </row>
    <row r="24" spans="1:13" ht="18" customHeight="1" x14ac:dyDescent="0.3">
      <c r="A24" s="680" t="s">
        <v>1060</v>
      </c>
      <c r="B24" s="693"/>
      <c r="C24" s="714">
        <f t="shared" ref="C24:H24" si="7">C8+C14+C18</f>
        <v>471.82</v>
      </c>
      <c r="D24" s="714">
        <f t="shared" si="7"/>
        <v>545.81999999999994</v>
      </c>
      <c r="E24" s="714">
        <f t="shared" ca="1" si="7"/>
        <v>613.09999999999991</v>
      </c>
      <c r="F24" s="714">
        <f t="shared" ca="1" si="7"/>
        <v>419.118709056135</v>
      </c>
      <c r="G24" s="714">
        <f t="shared" ca="1" si="7"/>
        <v>351.79999999999995</v>
      </c>
      <c r="H24" s="714">
        <f t="shared" ca="1" si="7"/>
        <v>306.49999999999994</v>
      </c>
      <c r="I24" s="714">
        <f ca="1">I8+I14+I18</f>
        <v>261.49999999999994</v>
      </c>
      <c r="J24" s="714">
        <f ca="1">J8+J14+J18</f>
        <v>216.49999999999994</v>
      </c>
      <c r="K24" s="714">
        <f ca="1">K8+K14+K18</f>
        <v>171.49999999999994</v>
      </c>
      <c r="L24" s="714">
        <f ca="1">L8+L14+L18</f>
        <v>126.49999999999996</v>
      </c>
    </row>
    <row r="25" spans="1:13" ht="18" customHeight="1" x14ac:dyDescent="0.3">
      <c r="A25" s="694" t="s">
        <v>1061</v>
      </c>
      <c r="B25" s="695"/>
      <c r="C25" s="715">
        <f t="shared" ref="C25:H25" si="8">C9+C15+C19+C21</f>
        <v>33.794099999999993</v>
      </c>
      <c r="D25" s="715">
        <f t="shared" si="8"/>
        <v>41.511099999999992</v>
      </c>
      <c r="E25" s="715">
        <f t="shared" ca="1" si="8"/>
        <v>59.353149999999999</v>
      </c>
      <c r="F25" s="715">
        <f t="shared" ca="1" si="8"/>
        <v>46.324683815052147</v>
      </c>
      <c r="G25" s="715">
        <f t="shared" ca="1" si="8"/>
        <v>35.335499999999996</v>
      </c>
      <c r="H25" s="715">
        <f t="shared" ca="1" si="8"/>
        <v>31.123499999999996</v>
      </c>
      <c r="I25" s="715">
        <f ca="1">I9+I15+I19+I21</f>
        <v>27.059999999999995</v>
      </c>
      <c r="J25" s="715">
        <f ca="1">J9+J15+J19+J21</f>
        <v>23.009999999999994</v>
      </c>
      <c r="K25" s="715">
        <f ca="1">K9+K15+K19+K21</f>
        <v>18.959999999999994</v>
      </c>
      <c r="L25" s="715">
        <f ca="1">L9+L15+L19+L21</f>
        <v>14.909999999999995</v>
      </c>
      <c r="M25" s="709"/>
    </row>
  </sheetData>
  <mergeCells count="1">
    <mergeCell ref="A1:H1"/>
  </mergeCells>
  <pageMargins left="0.75" right="0.75" top="1" bottom="1" header="0.511811023622047" footer="0.511811023622047"/>
  <pageSetup paperSize="9" orientation="portrait" horizontalDpi="300" verticalDpi="300"/>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B95E-FBD6-47A1-94FD-300BA43F33C4}">
  <dimension ref="A1:K14"/>
  <sheetViews>
    <sheetView workbookViewId="0">
      <selection activeCell="D6" sqref="D6"/>
    </sheetView>
  </sheetViews>
  <sheetFormatPr defaultRowHeight="14.4" x14ac:dyDescent="0.3"/>
  <cols>
    <col min="1" max="1" width="46.33203125" customWidth="1"/>
    <col min="2" max="11" width="15.77734375" customWidth="1"/>
  </cols>
  <sheetData>
    <row r="1" spans="1:11" ht="15.6" x14ac:dyDescent="0.3">
      <c r="A1" s="785" t="s">
        <v>1306</v>
      </c>
      <c r="B1" s="786"/>
      <c r="C1" s="786"/>
      <c r="D1" s="786"/>
      <c r="E1" s="786"/>
      <c r="F1" s="786"/>
      <c r="G1" s="786"/>
      <c r="H1" s="786"/>
      <c r="I1" s="786"/>
      <c r="J1" s="786"/>
      <c r="K1" s="786"/>
    </row>
    <row r="2" spans="1:11" x14ac:dyDescent="0.3">
      <c r="A2" s="787" t="s">
        <v>1307</v>
      </c>
    </row>
    <row r="4" spans="1:11" x14ac:dyDescent="0.3">
      <c r="A4" s="789" t="s">
        <v>1044</v>
      </c>
      <c r="B4" s="808" t="s">
        <v>144</v>
      </c>
      <c r="C4" s="808" t="s">
        <v>145</v>
      </c>
      <c r="D4" s="808" t="s">
        <v>146</v>
      </c>
      <c r="E4" s="808" t="s">
        <v>147</v>
      </c>
      <c r="F4" s="808" t="s">
        <v>148</v>
      </c>
      <c r="G4" s="808" t="s">
        <v>149</v>
      </c>
      <c r="H4" s="808" t="s">
        <v>1143</v>
      </c>
      <c r="I4" s="808" t="s">
        <v>1144</v>
      </c>
      <c r="J4" s="808" t="s">
        <v>1145</v>
      </c>
      <c r="K4" s="809" t="s">
        <v>1146</v>
      </c>
    </row>
    <row r="5" spans="1:11" x14ac:dyDescent="0.3">
      <c r="A5" s="790" t="s">
        <v>1308</v>
      </c>
      <c r="B5" s="810">
        <f>'Debt Schedule'!C6</f>
        <v>327.35000000000002</v>
      </c>
      <c r="C5" s="810">
        <f>'Debt Schedule'!D6</f>
        <v>324.01</v>
      </c>
      <c r="D5" s="810">
        <f>'Debt Schedule'!E6</f>
        <v>285.07</v>
      </c>
      <c r="E5" s="810">
        <f>'Debt Schedule'!F6</f>
        <v>431.29999999999995</v>
      </c>
      <c r="F5" s="810">
        <f>'Debt Schedule'!G6</f>
        <v>396.9</v>
      </c>
      <c r="G5" s="810">
        <f>'Debt Schedule'!H6</f>
        <v>351.79999999999995</v>
      </c>
      <c r="H5" s="810">
        <f>'Debt Schedule'!I6</f>
        <v>306.49999999999994</v>
      </c>
      <c r="I5" s="810">
        <f>'Debt Schedule'!J6</f>
        <v>261.49999999999994</v>
      </c>
      <c r="J5" s="810">
        <f>'Debt Schedule'!K6</f>
        <v>216.49999999999994</v>
      </c>
      <c r="K5" s="811">
        <f>'Debt Schedule'!L6</f>
        <v>171.49999999999994</v>
      </c>
    </row>
    <row r="6" spans="1:11" x14ac:dyDescent="0.3">
      <c r="A6" s="790" t="s">
        <v>1309</v>
      </c>
      <c r="B6" s="812">
        <f>'Debt Schedule'!C7</f>
        <v>-3.3400000000000318</v>
      </c>
      <c r="C6" s="812">
        <f>'Debt Schedule'!D7</f>
        <v>-38.94</v>
      </c>
      <c r="D6" s="812">
        <f>'Debt Schedule'!E7</f>
        <v>146.22999999999999</v>
      </c>
      <c r="E6" s="812">
        <f>'Debt Schedule'!F7</f>
        <v>-34.4</v>
      </c>
      <c r="F6" s="812">
        <f>'Debt Schedule'!G7</f>
        <v>-45.1</v>
      </c>
      <c r="G6" s="812">
        <f>'Debt Schedule'!H7</f>
        <v>-45.3</v>
      </c>
      <c r="H6" s="812">
        <f>'Debt Schedule'!I7</f>
        <v>-45</v>
      </c>
      <c r="I6" s="812">
        <f>'Debt Schedule'!J7</f>
        <v>-45</v>
      </c>
      <c r="J6" s="812">
        <f>'Debt Schedule'!K7</f>
        <v>-45</v>
      </c>
      <c r="K6" s="813">
        <f>'Debt Schedule'!L7</f>
        <v>-45</v>
      </c>
    </row>
    <row r="7" spans="1:11" x14ac:dyDescent="0.3">
      <c r="A7" s="814" t="s">
        <v>1310</v>
      </c>
      <c r="B7" s="791"/>
      <c r="C7" s="791"/>
      <c r="D7" s="815">
        <v>146.22999999999999</v>
      </c>
      <c r="E7" s="791"/>
      <c r="F7" s="791"/>
      <c r="G7" s="791"/>
      <c r="H7" s="791"/>
      <c r="I7" s="791"/>
      <c r="J7" s="791"/>
      <c r="K7" s="816"/>
    </row>
    <row r="8" spans="1:11" ht="15" thickBot="1" x14ac:dyDescent="0.35">
      <c r="A8" s="792" t="s">
        <v>1311</v>
      </c>
      <c r="B8" s="817">
        <f>'Debt Schedule'!C8</f>
        <v>324.01</v>
      </c>
      <c r="C8" s="817">
        <f>'Debt Schedule'!D8</f>
        <v>285.07</v>
      </c>
      <c r="D8" s="817">
        <f>'Debt Schedule'!E8</f>
        <v>431.29999999999995</v>
      </c>
      <c r="E8" s="817">
        <f>'Debt Schedule'!F8</f>
        <v>396.9</v>
      </c>
      <c r="F8" s="817">
        <f>'Debt Schedule'!G8</f>
        <v>351.79999999999995</v>
      </c>
      <c r="G8" s="817">
        <f>'Debt Schedule'!H8</f>
        <v>306.49999999999994</v>
      </c>
      <c r="H8" s="817">
        <f>'Debt Schedule'!I8</f>
        <v>261.49999999999994</v>
      </c>
      <c r="I8" s="817">
        <f>'Debt Schedule'!J8</f>
        <v>216.49999999999994</v>
      </c>
      <c r="J8" s="817">
        <f>'Debt Schedule'!K8</f>
        <v>171.49999999999994</v>
      </c>
      <c r="K8" s="818">
        <f>'Debt Schedule'!L8</f>
        <v>126.49999999999994</v>
      </c>
    </row>
    <row r="10" spans="1:11" x14ac:dyDescent="0.3">
      <c r="A10" s="806" t="s">
        <v>1312</v>
      </c>
      <c r="B10" s="769">
        <f t="shared" ref="B10:K10" si="0">IF(B5=0,0,B6/B5)</f>
        <v>-1.0203146479303595E-2</v>
      </c>
      <c r="C10" s="769">
        <f t="shared" si="0"/>
        <v>-0.12018147588037406</v>
      </c>
      <c r="D10" s="769">
        <f t="shared" si="0"/>
        <v>0.51296172869821444</v>
      </c>
      <c r="E10" s="769">
        <f t="shared" si="0"/>
        <v>-7.975886853698122E-2</v>
      </c>
      <c r="F10" s="769">
        <f t="shared" si="0"/>
        <v>-0.11363063744016126</v>
      </c>
      <c r="G10" s="769">
        <f t="shared" si="0"/>
        <v>-0.12876634451392838</v>
      </c>
      <c r="H10" s="769">
        <f t="shared" si="0"/>
        <v>-0.14681892332789562</v>
      </c>
      <c r="I10" s="769">
        <f t="shared" si="0"/>
        <v>-0.17208413001912048</v>
      </c>
      <c r="J10" s="769">
        <f t="shared" si="0"/>
        <v>-0.20785219399538113</v>
      </c>
      <c r="K10" s="769">
        <f t="shared" si="0"/>
        <v>-0.26239067055393595</v>
      </c>
    </row>
    <row r="11" spans="1:11" x14ac:dyDescent="0.3">
      <c r="A11" t="s">
        <v>1313</v>
      </c>
      <c r="D11" s="807">
        <f>D6</f>
        <v>146.22999999999999</v>
      </c>
      <c r="E11" s="807">
        <f t="shared" ref="E11:K11" si="1">D11+E6</f>
        <v>111.82999999999998</v>
      </c>
      <c r="F11" s="807">
        <f t="shared" si="1"/>
        <v>66.72999999999999</v>
      </c>
      <c r="G11" s="807">
        <f t="shared" si="1"/>
        <v>21.429999999999993</v>
      </c>
      <c r="H11" s="807">
        <f t="shared" si="1"/>
        <v>-23.570000000000007</v>
      </c>
      <c r="I11" s="807">
        <f t="shared" si="1"/>
        <v>-68.570000000000007</v>
      </c>
      <c r="J11" s="807">
        <f t="shared" si="1"/>
        <v>-113.57000000000001</v>
      </c>
      <c r="K11" s="807">
        <f t="shared" si="1"/>
        <v>-158.57</v>
      </c>
    </row>
    <row r="13" spans="1:11" x14ac:dyDescent="0.3">
      <c r="A13" s="788" t="s">
        <v>1314</v>
      </c>
    </row>
    <row r="14" spans="1:11" ht="45" customHeight="1" x14ac:dyDescent="0.3">
      <c r="A14" s="919" t="s">
        <v>1315</v>
      </c>
      <c r="B14" s="919"/>
      <c r="C14" s="919"/>
      <c r="D14" s="919"/>
      <c r="E14" s="919"/>
      <c r="F14" s="919"/>
      <c r="G14" s="919"/>
      <c r="H14" s="919"/>
      <c r="I14" s="919"/>
      <c r="J14" s="919"/>
      <c r="K14" s="919"/>
    </row>
  </sheetData>
  <mergeCells count="1">
    <mergeCell ref="A14:K14"/>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2"/>
  <sheetViews>
    <sheetView showGridLines="0" tabSelected="1" zoomScaleNormal="100" workbookViewId="0">
      <selection activeCell="D7" sqref="D7"/>
    </sheetView>
  </sheetViews>
  <sheetFormatPr defaultColWidth="8.6640625" defaultRowHeight="14.4" x14ac:dyDescent="0.3"/>
  <cols>
    <col min="1" max="1" width="46.33203125" customWidth="1"/>
    <col min="2" max="2" width="9.21875" customWidth="1"/>
    <col min="3" max="12" width="15.77734375" customWidth="1"/>
  </cols>
  <sheetData>
    <row r="1" spans="1:12" ht="24" customHeight="1" x14ac:dyDescent="0.3">
      <c r="A1" s="893" t="s">
        <v>1062</v>
      </c>
      <c r="B1" s="893"/>
      <c r="C1" s="893"/>
      <c r="D1" s="893"/>
      <c r="E1" s="893"/>
      <c r="F1" s="893"/>
      <c r="G1" s="893"/>
      <c r="H1" s="893"/>
      <c r="I1" s="79"/>
      <c r="J1" s="79"/>
      <c r="K1" s="79"/>
      <c r="L1" s="79"/>
    </row>
    <row r="2" spans="1:12" ht="18" customHeight="1" x14ac:dyDescent="0.3">
      <c r="A2" s="555" t="s">
        <v>1063</v>
      </c>
      <c r="B2" s="555"/>
      <c r="C2" s="555"/>
      <c r="D2" s="555"/>
      <c r="E2" s="555"/>
      <c r="F2" s="555"/>
      <c r="G2" s="555"/>
      <c r="H2" s="555"/>
      <c r="I2" s="60"/>
      <c r="J2" s="60"/>
      <c r="K2" s="60"/>
      <c r="L2" s="60"/>
    </row>
    <row r="3" spans="1:12" ht="6" customHeight="1" x14ac:dyDescent="0.3">
      <c r="A3" s="48"/>
      <c r="B3" s="48"/>
      <c r="C3" s="48"/>
      <c r="D3" s="48"/>
      <c r="E3" s="48"/>
      <c r="F3" s="48"/>
      <c r="G3" s="48"/>
      <c r="H3" s="48"/>
      <c r="I3" s="48"/>
      <c r="J3" s="48"/>
      <c r="K3" s="48"/>
      <c r="L3" s="48"/>
    </row>
    <row r="4" spans="1:12" ht="22.05" customHeight="1" x14ac:dyDescent="0.3">
      <c r="A4" s="684" t="s">
        <v>1064</v>
      </c>
      <c r="B4" s="684" t="s">
        <v>1065</v>
      </c>
      <c r="C4" s="78" t="s">
        <v>144</v>
      </c>
      <c r="D4" s="78" t="s">
        <v>145</v>
      </c>
      <c r="E4" s="78" t="s">
        <v>146</v>
      </c>
      <c r="F4" s="78" t="s">
        <v>147</v>
      </c>
      <c r="G4" s="78" t="s">
        <v>148</v>
      </c>
      <c r="H4" s="78" t="s">
        <v>149</v>
      </c>
      <c r="I4" s="78" t="s">
        <v>1143</v>
      </c>
      <c r="J4" s="78" t="s">
        <v>1144</v>
      </c>
      <c r="K4" s="78" t="s">
        <v>1145</v>
      </c>
      <c r="L4" s="78" t="s">
        <v>1146</v>
      </c>
    </row>
    <row r="5" spans="1:12" ht="22.05" customHeight="1" x14ac:dyDescent="0.3">
      <c r="A5" s="675" t="s">
        <v>1066</v>
      </c>
      <c r="B5" s="675"/>
      <c r="C5" s="675"/>
      <c r="D5" s="675"/>
      <c r="E5" s="675"/>
      <c r="F5" s="675"/>
      <c r="G5" s="675"/>
      <c r="H5" s="675"/>
      <c r="I5" s="675"/>
      <c r="J5" s="675"/>
      <c r="K5" s="675"/>
      <c r="L5" s="675"/>
    </row>
    <row r="6" spans="1:12" ht="18" customHeight="1" x14ac:dyDescent="0.3">
      <c r="A6" s="36" t="s">
        <v>1067</v>
      </c>
      <c r="B6" s="36"/>
      <c r="C6" s="179"/>
      <c r="D6" s="179">
        <f>'Assumptions &amp; Drivers'!D49</f>
        <v>35</v>
      </c>
      <c r="E6" s="179">
        <f>'Assumptions &amp; Drivers'!E49</f>
        <v>34</v>
      </c>
      <c r="F6" s="179">
        <f>'Assumptions &amp; Drivers'!F49</f>
        <v>33</v>
      </c>
      <c r="G6" s="179">
        <f>'Assumptions &amp; Drivers'!G49</f>
        <v>32</v>
      </c>
      <c r="H6" s="179">
        <f>'Assumptions &amp; Drivers'!H49</f>
        <v>31</v>
      </c>
      <c r="I6" s="718">
        <f>'Assumptions &amp; Drivers'!I49</f>
        <v>31</v>
      </c>
      <c r="J6" s="718">
        <f>'Assumptions &amp; Drivers'!J49</f>
        <v>31</v>
      </c>
      <c r="K6" s="718">
        <f>'Assumptions &amp; Drivers'!K49</f>
        <v>31</v>
      </c>
      <c r="L6" s="718">
        <f>'Assumptions &amp; Drivers'!L49</f>
        <v>31</v>
      </c>
    </row>
    <row r="7" spans="1:12" ht="18" customHeight="1" x14ac:dyDescent="0.3">
      <c r="A7" s="36" t="s">
        <v>1068</v>
      </c>
      <c r="B7" s="36"/>
      <c r="C7" s="179"/>
      <c r="D7" s="179">
        <f>'Assumptions &amp; Drivers'!D51</f>
        <v>45</v>
      </c>
      <c r="E7" s="179">
        <f>'Assumptions &amp; Drivers'!E51</f>
        <v>43</v>
      </c>
      <c r="F7" s="179">
        <f>'Assumptions &amp; Drivers'!F51</f>
        <v>41</v>
      </c>
      <c r="G7" s="179">
        <f>'Assumptions &amp; Drivers'!G51</f>
        <v>40</v>
      </c>
      <c r="H7" s="179">
        <f>'Assumptions &amp; Drivers'!H51</f>
        <v>40</v>
      </c>
      <c r="I7" s="718">
        <f>'Assumptions &amp; Drivers'!I51</f>
        <v>40</v>
      </c>
      <c r="J7" s="718">
        <f>'Assumptions &amp; Drivers'!J51</f>
        <v>40</v>
      </c>
      <c r="K7" s="718">
        <f>'Assumptions &amp; Drivers'!K51</f>
        <v>40</v>
      </c>
      <c r="L7" s="718">
        <f>'Assumptions &amp; Drivers'!L51</f>
        <v>40</v>
      </c>
    </row>
    <row r="8" spans="1:12" ht="18" customHeight="1" x14ac:dyDescent="0.3">
      <c r="A8" s="36" t="s">
        <v>1069</v>
      </c>
      <c r="B8" s="36"/>
      <c r="C8" s="179"/>
      <c r="D8" s="179">
        <f>'Assumptions &amp; Drivers'!D53</f>
        <v>40</v>
      </c>
      <c r="E8" s="179">
        <f>'Assumptions &amp; Drivers'!E53</f>
        <v>40</v>
      </c>
      <c r="F8" s="179">
        <f>'Assumptions &amp; Drivers'!F53</f>
        <v>40</v>
      </c>
      <c r="G8" s="179">
        <f>'Assumptions &amp; Drivers'!G53</f>
        <v>40</v>
      </c>
      <c r="H8" s="179">
        <f>'Assumptions &amp; Drivers'!H53</f>
        <v>40</v>
      </c>
      <c r="I8" s="718">
        <f>'Assumptions &amp; Drivers'!I53</f>
        <v>40</v>
      </c>
      <c r="J8" s="718">
        <f>'Assumptions &amp; Drivers'!J53</f>
        <v>40</v>
      </c>
      <c r="K8" s="718">
        <f>'Assumptions &amp; Drivers'!K53</f>
        <v>40</v>
      </c>
      <c r="L8" s="718">
        <f>'Assumptions &amp; Drivers'!L53</f>
        <v>40</v>
      </c>
    </row>
    <row r="9" spans="1:12" ht="18" customHeight="1" x14ac:dyDescent="0.3">
      <c r="A9" s="160" t="s">
        <v>1070</v>
      </c>
      <c r="B9" s="162"/>
      <c r="C9" s="719"/>
      <c r="D9" s="719">
        <f t="shared" ref="D9:L9" si="0">D6+D7-D8</f>
        <v>40</v>
      </c>
      <c r="E9" s="719">
        <f t="shared" si="0"/>
        <v>37</v>
      </c>
      <c r="F9" s="719">
        <f t="shared" si="0"/>
        <v>34</v>
      </c>
      <c r="G9" s="719">
        <f t="shared" si="0"/>
        <v>32</v>
      </c>
      <c r="H9" s="719">
        <f t="shared" si="0"/>
        <v>31</v>
      </c>
      <c r="I9" s="719">
        <f t="shared" si="0"/>
        <v>31</v>
      </c>
      <c r="J9" s="719">
        <f t="shared" si="0"/>
        <v>31</v>
      </c>
      <c r="K9" s="719">
        <f t="shared" si="0"/>
        <v>31</v>
      </c>
      <c r="L9" s="719">
        <f t="shared" si="0"/>
        <v>31</v>
      </c>
    </row>
    <row r="10" spans="1:12" ht="6" customHeight="1" x14ac:dyDescent="0.3">
      <c r="A10" s="36"/>
      <c r="B10" s="36"/>
      <c r="C10" s="39"/>
      <c r="D10" s="39"/>
      <c r="E10" s="39"/>
      <c r="F10" s="39"/>
      <c r="G10" s="39"/>
      <c r="H10" s="39"/>
      <c r="I10" s="716"/>
      <c r="J10" s="716"/>
      <c r="K10" s="716"/>
      <c r="L10" s="716"/>
    </row>
    <row r="11" spans="1:12" ht="22.05" customHeight="1" x14ac:dyDescent="0.3">
      <c r="A11" s="675" t="s">
        <v>1071</v>
      </c>
      <c r="B11" s="675"/>
      <c r="C11" s="677"/>
      <c r="D11" s="677"/>
      <c r="E11" s="677"/>
      <c r="F11" s="677"/>
      <c r="G11" s="677"/>
      <c r="H11" s="677"/>
      <c r="I11" s="677"/>
      <c r="J11" s="677"/>
      <c r="K11" s="677"/>
      <c r="L11" s="677"/>
    </row>
    <row r="12" spans="1:12" ht="18" customHeight="1" x14ac:dyDescent="0.3">
      <c r="A12" s="36" t="s">
        <v>1072</v>
      </c>
      <c r="B12" s="36"/>
      <c r="C12" s="712"/>
      <c r="D12" s="712">
        <f>'Assumptions &amp; Drivers'!D50</f>
        <v>161.13052473985678</v>
      </c>
      <c r="E12" s="712">
        <f>'Assumptions &amp; Drivers'!E50</f>
        <v>193.85692592732855</v>
      </c>
      <c r="F12" s="712">
        <f>'Assumptions &amp; Drivers'!F50</f>
        <v>198.50730462164969</v>
      </c>
      <c r="G12" s="712">
        <f>'Assumptions &amp; Drivers'!G50</f>
        <v>192.49193175432697</v>
      </c>
      <c r="H12" s="712">
        <f>'Assumptions &amp; Drivers'!H50</f>
        <v>186.47655888700424</v>
      </c>
      <c r="I12" s="720">
        <f>'Assumptions &amp; Drivers'!I50</f>
        <v>186.47655888700424</v>
      </c>
      <c r="J12" s="720">
        <f>'Assumptions &amp; Drivers'!J50</f>
        <v>186.47655888700424</v>
      </c>
      <c r="K12" s="720">
        <f>'Assumptions &amp; Drivers'!K50</f>
        <v>186.47655888700424</v>
      </c>
      <c r="L12" s="720">
        <f>'Assumptions &amp; Drivers'!L50</f>
        <v>186.47655888700424</v>
      </c>
    </row>
    <row r="13" spans="1:12" ht="18" customHeight="1" x14ac:dyDescent="0.3">
      <c r="A13" s="36" t="s">
        <v>1073</v>
      </c>
      <c r="B13" s="36"/>
      <c r="C13" s="712"/>
      <c r="D13" s="712">
        <f>'Assumptions &amp; Drivers'!D52</f>
        <v>167.41802132749595</v>
      </c>
      <c r="E13" s="712">
        <f>'Assumptions &amp; Drivers'!E52</f>
        <v>188.98532775336361</v>
      </c>
      <c r="F13" s="712">
        <f>'Assumptions &amp; Drivers'!F52</f>
        <v>194.64834114296553</v>
      </c>
      <c r="G13" s="712">
        <f>'Assumptions &amp; Drivers'!G52</f>
        <v>189.41959079789765</v>
      </c>
      <c r="H13" s="712">
        <f>'Assumptions &amp; Drivers'!H52</f>
        <v>188.9383609685118</v>
      </c>
      <c r="I13" s="720">
        <f>'Assumptions &amp; Drivers'!I52</f>
        <v>188.9383609685118</v>
      </c>
      <c r="J13" s="720">
        <f>'Assumptions &amp; Drivers'!J52</f>
        <v>188.9383609685118</v>
      </c>
      <c r="K13" s="720">
        <f>'Assumptions &amp; Drivers'!K52</f>
        <v>188.9383609685118</v>
      </c>
      <c r="L13" s="720">
        <f>'Assumptions &amp; Drivers'!L52</f>
        <v>188.9383609685118</v>
      </c>
    </row>
    <row r="14" spans="1:12" ht="18" customHeight="1" x14ac:dyDescent="0.3">
      <c r="A14" s="36" t="s">
        <v>1074</v>
      </c>
      <c r="B14" s="36"/>
      <c r="C14" s="712"/>
      <c r="D14" s="712">
        <f>'Assumptions &amp; Drivers'!D54</f>
        <v>148.81601895777416</v>
      </c>
      <c r="E14" s="712">
        <f>'Assumptions &amp; Drivers'!E54</f>
        <v>175.80030488684986</v>
      </c>
      <c r="F14" s="712">
        <f>'Assumptions &amp; Drivers'!F54</f>
        <v>189.90082062728345</v>
      </c>
      <c r="G14" s="712">
        <f>'Assumptions &amp; Drivers'!G54</f>
        <v>189.41959079789765</v>
      </c>
      <c r="H14" s="712">
        <f>'Assumptions &amp; Drivers'!H54</f>
        <v>188.9383609685118</v>
      </c>
      <c r="I14" s="720">
        <f>'Assumptions &amp; Drivers'!I54</f>
        <v>188.9383609685118</v>
      </c>
      <c r="J14" s="720">
        <f>'Assumptions &amp; Drivers'!J54</f>
        <v>188.9383609685118</v>
      </c>
      <c r="K14" s="720">
        <f>'Assumptions &amp; Drivers'!K54</f>
        <v>188.9383609685118</v>
      </c>
      <c r="L14" s="720">
        <f>'Assumptions &amp; Drivers'!L54</f>
        <v>188.9383609685118</v>
      </c>
    </row>
    <row r="15" spans="1:12" ht="18" customHeight="1" x14ac:dyDescent="0.3">
      <c r="A15" s="680" t="s">
        <v>1075</v>
      </c>
      <c r="B15" s="693"/>
      <c r="C15" s="725"/>
      <c r="D15" s="725">
        <f t="shared" ref="D15:L15" si="1">D12+D13-D14</f>
        <v>179.73252710957857</v>
      </c>
      <c r="E15" s="725">
        <f t="shared" si="1"/>
        <v>207.04194879384227</v>
      </c>
      <c r="F15" s="725">
        <f t="shared" si="1"/>
        <v>203.25482513733175</v>
      </c>
      <c r="G15" s="725">
        <f t="shared" si="1"/>
        <v>192.49193175432694</v>
      </c>
      <c r="H15" s="725">
        <f t="shared" si="1"/>
        <v>186.47655888700422</v>
      </c>
      <c r="I15" s="725">
        <f t="shared" si="1"/>
        <v>186.47655888700422</v>
      </c>
      <c r="J15" s="725">
        <f t="shared" si="1"/>
        <v>186.47655888700422</v>
      </c>
      <c r="K15" s="725">
        <f t="shared" si="1"/>
        <v>186.47655888700422</v>
      </c>
      <c r="L15" s="725">
        <f t="shared" si="1"/>
        <v>186.47655888700422</v>
      </c>
    </row>
    <row r="16" spans="1:12" ht="18" customHeight="1" x14ac:dyDescent="0.3">
      <c r="A16" s="160" t="s">
        <v>1076</v>
      </c>
      <c r="B16" s="162"/>
      <c r="C16" s="721"/>
      <c r="D16" s="721"/>
      <c r="E16" s="721">
        <f t="shared" ref="E16:L16" si="2">E15-D15</f>
        <v>27.309421684263697</v>
      </c>
      <c r="F16" s="721">
        <f t="shared" si="2"/>
        <v>-3.7871236565105164</v>
      </c>
      <c r="G16" s="721">
        <f t="shared" si="2"/>
        <v>-10.762893383004808</v>
      </c>
      <c r="H16" s="721">
        <f t="shared" si="2"/>
        <v>-6.0153728673227249</v>
      </c>
      <c r="I16" s="722">
        <f t="shared" si="2"/>
        <v>0</v>
      </c>
      <c r="J16" s="722">
        <f t="shared" si="2"/>
        <v>0</v>
      </c>
      <c r="K16" s="722">
        <f t="shared" si="2"/>
        <v>0</v>
      </c>
      <c r="L16" s="722">
        <f t="shared" si="2"/>
        <v>0</v>
      </c>
    </row>
    <row r="17" spans="1:12" ht="6" customHeight="1" x14ac:dyDescent="0.3">
      <c r="A17" s="36"/>
      <c r="B17" s="36"/>
      <c r="C17" s="39"/>
      <c r="D17" s="39"/>
      <c r="E17" s="39"/>
      <c r="F17" s="39"/>
      <c r="G17" s="39"/>
      <c r="H17" s="39"/>
      <c r="I17" s="716"/>
      <c r="J17" s="716"/>
      <c r="K17" s="716"/>
      <c r="L17" s="716"/>
    </row>
    <row r="18" spans="1:12" ht="22.05" customHeight="1" x14ac:dyDescent="0.3">
      <c r="A18" s="696" t="s">
        <v>1077</v>
      </c>
      <c r="B18" s="696"/>
      <c r="C18" s="717"/>
      <c r="D18" s="717"/>
      <c r="E18" s="717"/>
      <c r="F18" s="717"/>
      <c r="G18" s="717"/>
      <c r="H18" s="717"/>
      <c r="I18" s="717"/>
      <c r="J18" s="717"/>
      <c r="K18" s="717"/>
      <c r="L18" s="717"/>
    </row>
    <row r="19" spans="1:12" ht="18" customHeight="1" x14ac:dyDescent="0.3">
      <c r="A19" s="36" t="s">
        <v>1078</v>
      </c>
      <c r="B19" s="36"/>
      <c r="C19" s="723"/>
      <c r="D19" s="723">
        <f t="shared" ref="D19:L19" si="3">D12+D13</f>
        <v>328.54854606735273</v>
      </c>
      <c r="E19" s="723">
        <f t="shared" si="3"/>
        <v>382.84225368069212</v>
      </c>
      <c r="F19" s="723">
        <f t="shared" si="3"/>
        <v>393.1556457646152</v>
      </c>
      <c r="G19" s="723">
        <f t="shared" si="3"/>
        <v>381.9115225522246</v>
      </c>
      <c r="H19" s="723">
        <f t="shared" si="3"/>
        <v>375.41491985551602</v>
      </c>
      <c r="I19" s="723">
        <f t="shared" si="3"/>
        <v>375.41491985551602</v>
      </c>
      <c r="J19" s="723">
        <f t="shared" si="3"/>
        <v>375.41491985551602</v>
      </c>
      <c r="K19" s="723">
        <f t="shared" si="3"/>
        <v>375.41491985551602</v>
      </c>
      <c r="L19" s="723">
        <f t="shared" si="3"/>
        <v>375.41491985551602</v>
      </c>
    </row>
    <row r="20" spans="1:12" ht="18" customHeight="1" x14ac:dyDescent="0.3">
      <c r="A20" s="36" t="s">
        <v>1079</v>
      </c>
      <c r="B20" s="36"/>
      <c r="C20" s="723"/>
      <c r="D20" s="723">
        <f t="shared" ref="D20:L20" si="4">D19-D14</f>
        <v>179.73252710957857</v>
      </c>
      <c r="E20" s="723">
        <f t="shared" si="4"/>
        <v>207.04194879384227</v>
      </c>
      <c r="F20" s="723">
        <f t="shared" si="4"/>
        <v>203.25482513733175</v>
      </c>
      <c r="G20" s="723">
        <f t="shared" si="4"/>
        <v>192.49193175432694</v>
      </c>
      <c r="H20" s="723">
        <f t="shared" si="4"/>
        <v>186.47655888700422</v>
      </c>
      <c r="I20" s="724">
        <f t="shared" si="4"/>
        <v>186.47655888700422</v>
      </c>
      <c r="J20" s="724">
        <f t="shared" si="4"/>
        <v>186.47655888700422</v>
      </c>
      <c r="K20" s="724">
        <f t="shared" si="4"/>
        <v>186.47655888700422</v>
      </c>
      <c r="L20" s="724">
        <f t="shared" si="4"/>
        <v>186.47655888700422</v>
      </c>
    </row>
    <row r="21" spans="1:12" ht="18" customHeight="1" x14ac:dyDescent="0.3">
      <c r="A21" s="36" t="s">
        <v>1080</v>
      </c>
      <c r="B21" s="36"/>
      <c r="C21" s="723"/>
      <c r="D21" s="723">
        <f t="shared" ref="D21:L21" si="5">0.25*D19</f>
        <v>82.137136516838183</v>
      </c>
      <c r="E21" s="723">
        <f t="shared" si="5"/>
        <v>95.710563420173031</v>
      </c>
      <c r="F21" s="723">
        <f t="shared" si="5"/>
        <v>98.2889114411538</v>
      </c>
      <c r="G21" s="723">
        <f t="shared" si="5"/>
        <v>95.477880638056149</v>
      </c>
      <c r="H21" s="723">
        <f t="shared" si="5"/>
        <v>93.853729963879005</v>
      </c>
      <c r="I21" s="723">
        <f t="shared" si="5"/>
        <v>93.853729963879005</v>
      </c>
      <c r="J21" s="723">
        <f t="shared" si="5"/>
        <v>93.853729963879005</v>
      </c>
      <c r="K21" s="723">
        <f t="shared" si="5"/>
        <v>93.853729963879005</v>
      </c>
      <c r="L21" s="723">
        <f t="shared" si="5"/>
        <v>93.853729963879005</v>
      </c>
    </row>
    <row r="22" spans="1:12" ht="18" customHeight="1" x14ac:dyDescent="0.3">
      <c r="A22" s="682" t="s">
        <v>1081</v>
      </c>
      <c r="B22" s="727"/>
      <c r="C22" s="728"/>
      <c r="D22" s="728">
        <f t="shared" ref="D22:L22" si="6">MAX(0,D20-D21)</f>
        <v>97.595390592740387</v>
      </c>
      <c r="E22" s="728">
        <f t="shared" si="6"/>
        <v>111.33138537366924</v>
      </c>
      <c r="F22" s="728">
        <f t="shared" si="6"/>
        <v>104.96591369617795</v>
      </c>
      <c r="G22" s="728">
        <f t="shared" si="6"/>
        <v>97.014051116270792</v>
      </c>
      <c r="H22" s="728">
        <f t="shared" si="6"/>
        <v>92.622828923125212</v>
      </c>
      <c r="I22" s="728">
        <f t="shared" si="6"/>
        <v>92.622828923125212</v>
      </c>
      <c r="J22" s="728">
        <f t="shared" si="6"/>
        <v>92.622828923125212</v>
      </c>
      <c r="K22" s="728">
        <f t="shared" si="6"/>
        <v>92.622828923125212</v>
      </c>
      <c r="L22" s="728">
        <f t="shared" si="6"/>
        <v>92.622828923125212</v>
      </c>
    </row>
  </sheetData>
  <mergeCells count="1">
    <mergeCell ref="A1:H1"/>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0"/>
  <sheetViews>
    <sheetView showGridLines="0" zoomScaleNormal="100" workbookViewId="0">
      <selection sqref="A1:H1"/>
    </sheetView>
  </sheetViews>
  <sheetFormatPr defaultColWidth="8.6640625" defaultRowHeight="14.4" x14ac:dyDescent="0.3"/>
  <cols>
    <col min="1" max="1" width="50" customWidth="1"/>
    <col min="2" max="2" width="12" customWidth="1"/>
    <col min="3" max="11" width="15.77734375" customWidth="1"/>
  </cols>
  <sheetData>
    <row r="1" spans="1:11" ht="24" customHeight="1" x14ac:dyDescent="0.3">
      <c r="A1" s="893" t="s">
        <v>1082</v>
      </c>
      <c r="B1" s="893"/>
      <c r="C1" s="893"/>
      <c r="D1" s="893"/>
      <c r="E1" s="893"/>
      <c r="F1" s="893"/>
      <c r="G1" s="893"/>
      <c r="H1" s="893"/>
      <c r="I1" s="79"/>
      <c r="J1" s="79"/>
      <c r="K1" s="79"/>
    </row>
    <row r="2" spans="1:11" ht="18" customHeight="1" x14ac:dyDescent="0.3">
      <c r="A2" s="555" t="s">
        <v>1083</v>
      </c>
      <c r="B2" s="555"/>
      <c r="C2" s="555"/>
      <c r="D2" s="555"/>
      <c r="E2" s="555"/>
      <c r="F2" s="555"/>
      <c r="G2" s="555"/>
      <c r="H2" s="555"/>
      <c r="I2" s="60"/>
      <c r="J2" s="60"/>
      <c r="K2" s="60"/>
    </row>
    <row r="3" spans="1:11" ht="6" customHeight="1" x14ac:dyDescent="0.3">
      <c r="A3" s="48"/>
      <c r="B3" s="48"/>
      <c r="C3" s="48"/>
      <c r="D3" s="48"/>
      <c r="E3" s="48"/>
      <c r="F3" s="48"/>
      <c r="G3" s="48"/>
      <c r="H3" s="48"/>
      <c r="I3" s="48"/>
      <c r="J3" s="48"/>
      <c r="K3" s="48"/>
    </row>
    <row r="4" spans="1:11" ht="22.05" customHeight="1" x14ac:dyDescent="0.3">
      <c r="A4" s="684" t="s">
        <v>959</v>
      </c>
      <c r="B4" s="684" t="s">
        <v>193</v>
      </c>
      <c r="C4" s="78" t="s">
        <v>145</v>
      </c>
      <c r="D4" s="78" t="s">
        <v>146</v>
      </c>
      <c r="E4" s="78" t="s">
        <v>147</v>
      </c>
      <c r="F4" s="78" t="s">
        <v>148</v>
      </c>
      <c r="G4" s="78" t="s">
        <v>149</v>
      </c>
      <c r="H4" s="78" t="s">
        <v>1143</v>
      </c>
      <c r="I4" s="78" t="s">
        <v>1144</v>
      </c>
      <c r="J4" s="78" t="s">
        <v>1145</v>
      </c>
      <c r="K4" s="78" t="s">
        <v>1146</v>
      </c>
    </row>
    <row r="5" spans="1:11" ht="6" customHeight="1" x14ac:dyDescent="0.3">
      <c r="A5" s="36"/>
      <c r="B5" s="36"/>
      <c r="C5" s="36"/>
      <c r="D5" s="36"/>
      <c r="E5" s="36"/>
      <c r="F5" s="36"/>
      <c r="G5" s="36"/>
      <c r="H5" s="36"/>
      <c r="I5" s="48"/>
      <c r="J5" s="48"/>
      <c r="K5" s="48"/>
    </row>
    <row r="6" spans="1:11" ht="22.05" customHeight="1" x14ac:dyDescent="0.3">
      <c r="A6" s="675" t="s">
        <v>1084</v>
      </c>
      <c r="B6" s="675"/>
      <c r="C6" s="675"/>
      <c r="D6" s="675"/>
      <c r="E6" s="675"/>
      <c r="F6" s="675"/>
      <c r="G6" s="675"/>
      <c r="H6" s="675"/>
      <c r="I6" s="675"/>
      <c r="J6" s="675"/>
      <c r="K6" s="675"/>
    </row>
    <row r="7" spans="1:11" ht="18" customHeight="1" x14ac:dyDescent="0.3">
      <c r="A7" s="36" t="s">
        <v>1085</v>
      </c>
      <c r="B7" s="36"/>
      <c r="C7" s="712">
        <f>'The 3-Statement Projection'!C27</f>
        <v>114.60000000000012</v>
      </c>
      <c r="D7" s="712">
        <f ca="1">'The 3-Statement Projection'!D27</f>
        <v>225.81067664648373</v>
      </c>
      <c r="E7" s="712">
        <f ca="1">'The 3-Statement Projection'!E27</f>
        <v>199.77611552532966</v>
      </c>
      <c r="F7" s="712">
        <f ca="1">'The 3-Statement Projection'!F27</f>
        <v>210.34614785824715</v>
      </c>
      <c r="G7" s="712">
        <f ca="1">'The 3-Statement Projection'!G27</f>
        <v>215.82119217140661</v>
      </c>
      <c r="H7" s="712">
        <f ca="1">'The 3-Statement Projection'!H27</f>
        <v>217.87499860003078</v>
      </c>
      <c r="I7" s="712">
        <f ca="1">'The 3-Statement Projection'!I27</f>
        <v>219.8940279113707</v>
      </c>
      <c r="J7" s="712">
        <f ca="1">'The 3-Statement Projection'!J27</f>
        <v>221.88776555549401</v>
      </c>
      <c r="K7" s="712">
        <f ca="1">'The 3-Statement Projection'!K27</f>
        <v>223.85557924072043</v>
      </c>
    </row>
    <row r="8" spans="1:11" ht="18" customHeight="1" x14ac:dyDescent="0.3">
      <c r="A8" s="36" t="s">
        <v>1086</v>
      </c>
      <c r="B8" s="36"/>
      <c r="C8" s="712">
        <f>'The 3-Statement Projection'!C18</f>
        <v>30.98</v>
      </c>
      <c r="D8" s="712">
        <f>'The 3-Statement Projection'!D18</f>
        <v>45.715457825000001</v>
      </c>
      <c r="E8" s="712">
        <f>'The 3-Statement Projection'!E18</f>
        <v>46.940228095625002</v>
      </c>
      <c r="F8" s="712">
        <f>'The 3-Statement Projection'!F18</f>
        <v>48.195617623015636</v>
      </c>
      <c r="G8" s="712">
        <f>'The 3-Statement Projection'!G18</f>
        <v>49.48239188859101</v>
      </c>
      <c r="H8" s="712">
        <f>'The 3-Statement Projection'!H18</f>
        <v>50.801335510805785</v>
      </c>
      <c r="I8" s="712">
        <f>'The 3-Statement Projection'!I18</f>
        <v>52.153252723575932</v>
      </c>
      <c r="J8" s="712">
        <f>'The 3-Statement Projection'!J18</f>
        <v>53.538967866665331</v>
      </c>
      <c r="K8" s="712">
        <f>'The 3-Statement Projection'!K18</f>
        <v>54.959325888331975</v>
      </c>
    </row>
    <row r="9" spans="1:11" ht="18" customHeight="1" x14ac:dyDescent="0.3">
      <c r="A9" s="36" t="s">
        <v>1087</v>
      </c>
      <c r="B9" s="36"/>
      <c r="C9" s="712">
        <f>'The 3-Statement Projection'!C21</f>
        <v>33.51</v>
      </c>
      <c r="D9" s="712">
        <f ca="1">'The 3-Statement Projection'!D21</f>
        <v>59.353149999999999</v>
      </c>
      <c r="E9" s="712">
        <f ca="1">'The 3-Statement Projection'!E21</f>
        <v>46.324683815052147</v>
      </c>
      <c r="F9" s="712">
        <f ca="1">'The 3-Statement Projection'!F21</f>
        <v>35.335499999999996</v>
      </c>
      <c r="G9" s="712">
        <f ca="1">'The 3-Statement Projection'!G21</f>
        <v>31.123499999999996</v>
      </c>
      <c r="H9" s="712">
        <f ca="1">'The 3-Statement Projection'!H21</f>
        <v>27.059999999999995</v>
      </c>
      <c r="I9" s="712">
        <f ca="1">'The 3-Statement Projection'!I21</f>
        <v>23.009999999999994</v>
      </c>
      <c r="J9" s="712">
        <f ca="1">'The 3-Statement Projection'!J21</f>
        <v>18.959999999999994</v>
      </c>
      <c r="K9" s="712">
        <f ca="1">'The 3-Statement Projection'!K21</f>
        <v>14.909999999999995</v>
      </c>
    </row>
    <row r="10" spans="1:11" ht="18" customHeight="1" x14ac:dyDescent="0.3">
      <c r="A10" s="36" t="s">
        <v>1088</v>
      </c>
      <c r="B10" s="36"/>
      <c r="C10" s="712">
        <f>'Tax Working'!D29</f>
        <v>6.7400000000000091</v>
      </c>
      <c r="D10" s="712">
        <f>'Tax Working'!E29</f>
        <v>1.8760119024789992</v>
      </c>
      <c r="E10" s="712">
        <f>'Tax Working'!F29</f>
        <v>0.54458980716497563</v>
      </c>
      <c r="F10" s="712">
        <f>'Tax Working'!G29</f>
        <v>-0.62189846346190403</v>
      </c>
      <c r="G10" s="712">
        <f>'Tax Working'!H29</f>
        <v>-1.6485186999749475</v>
      </c>
      <c r="H10" s="712">
        <f>'Tax Working'!I29</f>
        <v>-2.5566393443202435</v>
      </c>
      <c r="I10" s="712">
        <f>'Tax Working'!J29</f>
        <v>-3.3644822174059885</v>
      </c>
      <c r="J10" s="712">
        <f>'Tax Working'!K29</f>
        <v>-4.0875910844561831</v>
      </c>
      <c r="K10" s="712">
        <f>'Tax Working'!L29</f>
        <v>-4.7392303392595938</v>
      </c>
    </row>
    <row r="11" spans="1:11" ht="18" customHeight="1" x14ac:dyDescent="0.3">
      <c r="A11" s="697" t="s">
        <v>1089</v>
      </c>
      <c r="B11" s="698"/>
      <c r="C11" s="726">
        <f t="shared" ref="C11:H11" si="0">SUM(C7:C10)</f>
        <v>185.83000000000013</v>
      </c>
      <c r="D11" s="726">
        <f t="shared" ca="1" si="0"/>
        <v>332.75529637396272</v>
      </c>
      <c r="E11" s="726">
        <f t="shared" ca="1" si="0"/>
        <v>293.58561724317178</v>
      </c>
      <c r="F11" s="726">
        <f t="shared" ca="1" si="0"/>
        <v>293.25536701780095</v>
      </c>
      <c r="G11" s="726">
        <f t="shared" ca="1" si="0"/>
        <v>294.77856536002264</v>
      </c>
      <c r="H11" s="726">
        <f t="shared" ca="1" si="0"/>
        <v>293.17969476651638</v>
      </c>
      <c r="I11" s="726">
        <f ca="1">SUM(I7:I10)</f>
        <v>291.69279841754064</v>
      </c>
      <c r="J11" s="726">
        <f ca="1">SUM(J7:J10)</f>
        <v>290.29914233770319</v>
      </c>
      <c r="K11" s="726">
        <f ca="1">SUM(K7:K10)</f>
        <v>288.98567478979277</v>
      </c>
    </row>
    <row r="12" spans="1:11" ht="6" customHeight="1" x14ac:dyDescent="0.3">
      <c r="A12" s="36"/>
      <c r="B12" s="36"/>
      <c r="C12" s="39"/>
      <c r="D12" s="39"/>
      <c r="E12" s="39"/>
      <c r="F12" s="39"/>
      <c r="G12" s="39"/>
      <c r="H12" s="39"/>
      <c r="I12" s="716"/>
      <c r="J12" s="716"/>
      <c r="K12" s="716"/>
    </row>
    <row r="13" spans="1:11" ht="22.05" customHeight="1" x14ac:dyDescent="0.3">
      <c r="A13" s="675" t="s">
        <v>1090</v>
      </c>
      <c r="B13" s="675"/>
      <c r="C13" s="677"/>
      <c r="D13" s="677"/>
      <c r="E13" s="677"/>
      <c r="F13" s="677"/>
      <c r="G13" s="677"/>
      <c r="H13" s="677"/>
      <c r="I13" s="677"/>
      <c r="J13" s="677"/>
      <c r="K13" s="677"/>
    </row>
    <row r="14" spans="1:11" ht="18" customHeight="1" x14ac:dyDescent="0.3">
      <c r="A14" s="36" t="s">
        <v>1091</v>
      </c>
      <c r="B14" s="36"/>
      <c r="C14" s="712">
        <f>'The 3-Statement Projection'!C21</f>
        <v>33.51</v>
      </c>
      <c r="D14" s="712">
        <f ca="1">'The 3-Statement Projection'!D21</f>
        <v>59.353149999999999</v>
      </c>
      <c r="E14" s="712">
        <f ca="1">'The 3-Statement Projection'!E21</f>
        <v>46.324683815052147</v>
      </c>
      <c r="F14" s="712">
        <f ca="1">'The 3-Statement Projection'!F21</f>
        <v>35.335499999999996</v>
      </c>
      <c r="G14" s="712">
        <f ca="1">'The 3-Statement Projection'!G21</f>
        <v>31.123499999999996</v>
      </c>
      <c r="H14" s="712">
        <f ca="1">'The 3-Statement Projection'!H21</f>
        <v>27.059999999999995</v>
      </c>
      <c r="I14" s="712">
        <f ca="1">'The 3-Statement Projection'!I21</f>
        <v>23.009999999999994</v>
      </c>
      <c r="J14" s="712">
        <f ca="1">'The 3-Statement Projection'!J21</f>
        <v>18.959999999999994</v>
      </c>
      <c r="K14" s="712">
        <f ca="1">'The 3-Statement Projection'!K21</f>
        <v>14.909999999999995</v>
      </c>
    </row>
    <row r="15" spans="1:11" ht="18" customHeight="1" x14ac:dyDescent="0.3">
      <c r="A15" s="36" t="s">
        <v>1092</v>
      </c>
      <c r="B15" s="36"/>
      <c r="C15" s="712">
        <f>MAX(0,-'Debt Schedule'!C7)+MAX(0,-'Debt Schedule'!C13)</f>
        <v>3.3400000000000318</v>
      </c>
      <c r="D15" s="712">
        <f>MAX(0,-'Debt Schedule'!D7)+MAX(0,-'Debt Schedule'!D13)</f>
        <v>38.94</v>
      </c>
      <c r="E15" s="712">
        <f>MAX(0,-'Debt Schedule'!E7)+MAX(0,-'Debt Schedule'!E13)</f>
        <v>108.95</v>
      </c>
      <c r="F15" s="712">
        <f>MAX(0,-'Debt Schedule'!F7)+MAX(0,-'Debt Schedule'!F13)</f>
        <v>181.4</v>
      </c>
      <c r="G15" s="712">
        <f>MAX(0,-'Debt Schedule'!G7)+MAX(0,-'Debt Schedule'!G13)</f>
        <v>49.9</v>
      </c>
      <c r="H15" s="712">
        <f>MAX(0,-'Debt Schedule'!H7)+MAX(0,-'Debt Schedule'!H13)</f>
        <v>45.3</v>
      </c>
      <c r="I15" s="712">
        <f>MAX(0,-'Debt Schedule'!I7)+MAX(0,-'Debt Schedule'!I13)</f>
        <v>45</v>
      </c>
      <c r="J15" s="712">
        <f>MAX(0,-'Debt Schedule'!J7)+MAX(0,-'Debt Schedule'!J13)</f>
        <v>45</v>
      </c>
      <c r="K15" s="712">
        <f>MAX(0,-'Debt Schedule'!K7)+MAX(0,-'Debt Schedule'!K13)</f>
        <v>45</v>
      </c>
    </row>
    <row r="16" spans="1:11" ht="18" customHeight="1" x14ac:dyDescent="0.3">
      <c r="A16" s="697" t="s">
        <v>1093</v>
      </c>
      <c r="B16" s="698"/>
      <c r="C16" s="726">
        <f t="shared" ref="C16:H16" si="1">SUM(C14:C15)</f>
        <v>36.85000000000003</v>
      </c>
      <c r="D16" s="726">
        <f t="shared" ca="1" si="1"/>
        <v>98.293149999999997</v>
      </c>
      <c r="E16" s="726">
        <f t="shared" ca="1" si="1"/>
        <v>155.27468381505216</v>
      </c>
      <c r="F16" s="726">
        <f t="shared" ca="1" si="1"/>
        <v>216.7355</v>
      </c>
      <c r="G16" s="726">
        <f t="shared" ca="1" si="1"/>
        <v>81.023499999999999</v>
      </c>
      <c r="H16" s="726">
        <f t="shared" ca="1" si="1"/>
        <v>72.359999999999985</v>
      </c>
      <c r="I16" s="726">
        <f ca="1">SUM(I14:I15)</f>
        <v>68.009999999999991</v>
      </c>
      <c r="J16" s="726">
        <f ca="1">SUM(J14:J15)</f>
        <v>63.959999999999994</v>
      </c>
      <c r="K16" s="726">
        <f ca="1">SUM(K14:K15)</f>
        <v>59.91</v>
      </c>
    </row>
    <row r="17" spans="1:12" ht="6" customHeight="1" x14ac:dyDescent="0.3">
      <c r="A17" s="36"/>
      <c r="B17" s="36"/>
      <c r="C17" s="39"/>
      <c r="D17" s="39"/>
      <c r="E17" s="39"/>
      <c r="F17" s="39"/>
      <c r="G17" s="39"/>
      <c r="H17" s="39"/>
      <c r="I17" s="716"/>
      <c r="J17" s="716"/>
      <c r="K17" s="716"/>
    </row>
    <row r="18" spans="1:12" ht="22.05" customHeight="1" x14ac:dyDescent="0.3">
      <c r="A18" s="675" t="s">
        <v>1094</v>
      </c>
      <c r="B18" s="675"/>
      <c r="C18" s="677"/>
      <c r="D18" s="677"/>
      <c r="E18" s="677"/>
      <c r="F18" s="677"/>
      <c r="G18" s="677"/>
      <c r="H18" s="677"/>
      <c r="I18" s="677"/>
      <c r="J18" s="677"/>
      <c r="K18" s="677"/>
      <c r="L18" s="873" t="s">
        <v>1396</v>
      </c>
    </row>
    <row r="19" spans="1:12" ht="18" customHeight="1" x14ac:dyDescent="0.3">
      <c r="A19" s="160" t="s">
        <v>1095</v>
      </c>
      <c r="B19" s="630" t="s">
        <v>195</v>
      </c>
      <c r="C19" s="730">
        <f t="shared" ref="C19:H19" si="2">C11/C16</f>
        <v>5.0428765264586151</v>
      </c>
      <c r="D19" s="730">
        <f t="shared" ca="1" si="2"/>
        <v>3.3853355638105271</v>
      </c>
      <c r="E19" s="730">
        <f t="shared" ca="1" si="2"/>
        <v>1.8907500568016737</v>
      </c>
      <c r="F19" s="730">
        <f t="shared" ca="1" si="2"/>
        <v>1.3530564536857181</v>
      </c>
      <c r="G19" s="730">
        <f t="shared" ca="1" si="2"/>
        <v>3.638186024548713</v>
      </c>
      <c r="H19" s="730">
        <f t="shared" ca="1" si="2"/>
        <v>4.051681796109956</v>
      </c>
      <c r="I19" s="730">
        <f ca="1">I11/I16</f>
        <v>4.288969245957075</v>
      </c>
      <c r="J19" s="730">
        <f ca="1">J11/J16</f>
        <v>4.5387608245419511</v>
      </c>
      <c r="K19" s="730">
        <f ca="1">K11/K16</f>
        <v>4.8236634082756265</v>
      </c>
      <c r="L19" s="892">
        <v>1.2</v>
      </c>
    </row>
    <row r="20" spans="1:12" ht="18" customHeight="1" x14ac:dyDescent="0.3">
      <c r="A20" s="160" t="s">
        <v>196</v>
      </c>
      <c r="B20" s="630" t="s">
        <v>1096</v>
      </c>
      <c r="C20" s="730">
        <f>'The 3-Statement Projection'!C15/'The 3-Statement Projection'!C21</f>
        <v>5.9814980602805168</v>
      </c>
      <c r="D20" s="730">
        <f ca="1">'The 3-Statement Projection'!D15/'The 3-Statement Projection'!D21</f>
        <v>6.3980672523082109</v>
      </c>
      <c r="E20" s="730">
        <f ca="1">'The 3-Statement Projection'!E15/'The 3-Statement Projection'!E21</f>
        <v>7.7762229652139006</v>
      </c>
      <c r="F20" s="730">
        <f ca="1">'The 3-Statement Projection'!F15/'The 3-Statement Projection'!F21</f>
        <v>10.318866078929879</v>
      </c>
      <c r="G20" s="730">
        <f ca="1">'The 3-Statement Projection'!G15/'The 3-Statement Projection'!G21</f>
        <v>11.856427282444855</v>
      </c>
      <c r="H20" s="730">
        <f ca="1">'The 3-Statement Projection'!H15/'The 3-Statement Projection'!H21</f>
        <v>13.636863064492701</v>
      </c>
      <c r="I20" s="730">
        <f ca="1">'The 3-Statement Projection'!I15/'The 3-Statement Projection'!I21</f>
        <v>16.037093199703282</v>
      </c>
      <c r="J20" s="730">
        <f ca="1">'The 3-Statement Projection'!J15/'The 3-Statement Projection'!J21</f>
        <v>19.46273810786775</v>
      </c>
      <c r="K20" s="730">
        <f ca="1">'The 3-Statement Projection'!K15/'The 3-Statement Projection'!K21</f>
        <v>24.749397352459592</v>
      </c>
      <c r="L20" s="892">
        <v>3</v>
      </c>
    </row>
    <row r="21" spans="1:12" ht="18" customHeight="1" x14ac:dyDescent="0.3">
      <c r="A21" s="160" t="s">
        <v>198</v>
      </c>
      <c r="B21" s="630" t="s">
        <v>199</v>
      </c>
      <c r="C21" s="731">
        <f>'The 3-Statement Projection'!C57/'The 3-Statement Projection'!C39</f>
        <v>1.8026418204294674</v>
      </c>
      <c r="D21" s="731">
        <f>'The 3-Statement Projection'!D57/'The 3-Statement Projection'!D39</f>
        <v>2.1869106733712034</v>
      </c>
      <c r="E21" s="731">
        <f>'The 3-Statement Projection'!E57/'The 3-Statement Projection'!E39</f>
        <v>2.3173522987166164</v>
      </c>
      <c r="F21" s="731">
        <f>'The 3-Statement Projection'!F57/'The 3-Statement Projection'!F39</f>
        <v>2.5458537843082452</v>
      </c>
      <c r="G21" s="731">
        <f>'The 3-Statement Projection'!G57/'The 3-Statement Projection'!G39</f>
        <v>2.8411764022924362</v>
      </c>
      <c r="H21" s="731">
        <f>'The 3-Statement Projection'!H57/'The 3-Statement Projection'!H39</f>
        <v>3.2325339182034321</v>
      </c>
      <c r="I21" s="731">
        <f>'The 3-Statement Projection'!I57/'The 3-Statement Projection'!I39</f>
        <v>3.7832561866071708</v>
      </c>
      <c r="J21" s="731">
        <f>'The 3-Statement Projection'!J57/'The 3-Statement Projection'!J39</f>
        <v>4.6186857666790901</v>
      </c>
      <c r="K21" s="731">
        <f>'The 3-Statement Projection'!K57/'The 3-Statement Projection'!K39</f>
        <v>6.0425147103565262</v>
      </c>
      <c r="L21" s="892">
        <v>1.25</v>
      </c>
    </row>
    <row r="22" spans="1:12" ht="18" customHeight="1" x14ac:dyDescent="0.3">
      <c r="A22" s="207" t="s">
        <v>200</v>
      </c>
      <c r="B22" s="733" t="s">
        <v>1097</v>
      </c>
      <c r="C22" s="732">
        <f>('The 3-Statement Projection'!C39+'The 3-Statement Projection'!C45+'The 3-Statement Projection'!C46)/'The 3-Statement Projection'!C15</f>
        <v>2.7231091598483319</v>
      </c>
      <c r="D22" s="732">
        <f ca="1">('The 3-Statement Projection'!D39+'The 3-Statement Projection'!D45+'The 3-Statement Projection'!D46)/'The 3-Statement Projection'!D15</f>
        <v>1.6145025767379062</v>
      </c>
      <c r="E22" s="732">
        <f ca="1">('The 3-Statement Projection'!E39+'The 3-Statement Projection'!E45+'The 3-Statement Projection'!E46)/'The 3-Statement Projection'!E15</f>
        <v>1.1634718484847812</v>
      </c>
      <c r="F22" s="732">
        <f ca="1">('The 3-Statement Projection'!F39+'The 3-Statement Projection'!F45+'The 3-Statement Projection'!F46)/'The 3-Statement Projection'!F15</f>
        <v>0.96483404168730669</v>
      </c>
      <c r="G22" s="732">
        <f ca="1">('The 3-Statement Projection'!G39+'The 3-Statement Projection'!G45+'The 3-Statement Projection'!G46)/'The 3-Statement Projection'!G15</f>
        <v>0.83059288599331749</v>
      </c>
      <c r="H22" s="732">
        <f ca="1">('The 3-Statement Projection'!H39+'The 3-Statement Projection'!H45+'The 3-Statement Projection'!H46)/'The 3-Statement Projection'!H15</f>
        <v>0.70864613274796906</v>
      </c>
      <c r="I22" s="732">
        <f ca="1">('The 3-Statement Projection'!I39+'The 3-Statement Projection'!I45+'The 3-Statement Projection'!I46)/'The 3-Statement Projection'!I15</f>
        <v>0.58669937950262063</v>
      </c>
      <c r="J22" s="732">
        <f ca="1">('The 3-Statement Projection'!J39+'The 3-Statement Projection'!J45+'The 3-Statement Projection'!J46)/'The 3-Statement Projection'!J15</f>
        <v>0.46475262625727221</v>
      </c>
      <c r="K22" s="732">
        <f ca="1">('The 3-Statement Projection'!K39+'The 3-Statement Projection'!K45+'The 3-Statement Projection'!K46)/'The 3-Statement Projection'!K15</f>
        <v>0.34280587301192383</v>
      </c>
      <c r="L22" s="892">
        <v>3.5</v>
      </c>
    </row>
    <row r="23" spans="1:12" ht="18" customHeight="1" x14ac:dyDescent="0.3">
      <c r="A23" s="160" t="s">
        <v>1098</v>
      </c>
      <c r="B23" s="630" t="s">
        <v>1099</v>
      </c>
      <c r="C23" s="731">
        <f>('The 3-Statement Projection'!C39+'The 3-Statement Projection'!C45+'The 3-Statement Projection'!C46-'The 3-Statement Projection'!C67)/'The 3-Statement Projection'!C36</f>
        <v>0.42081243731193568</v>
      </c>
      <c r="D23" s="731">
        <f ca="1">('The 3-Statement Projection'!D39+'The 3-Statement Projection'!D45+'The 3-Statement Projection'!D46-'The 3-Statement Projection'!D67)/'The 3-Statement Projection'!D36</f>
        <v>0.75965832971045599</v>
      </c>
      <c r="E23" s="731">
        <f ca="1">('The 3-Statement Projection'!E39+'The 3-Statement Projection'!E45+'The 3-Statement Projection'!E46-'The 3-Statement Projection'!E67)/'The 3-Statement Projection'!E36</f>
        <v>0.44659099484634363</v>
      </c>
      <c r="F23" s="731">
        <f ca="1">('The 3-Statement Projection'!F39+'The 3-Statement Projection'!F45+'The 3-Statement Projection'!F46-'The 3-Statement Projection'!F67)/'The 3-Statement Projection'!F36</f>
        <v>5.1979578489713574E-2</v>
      </c>
      <c r="G23" s="731">
        <f ca="1">('The 3-Statement Projection'!G39+'The 3-Statement Projection'!G45+'The 3-Statement Projection'!G46-'The 3-Statement Projection'!G67)/'The 3-Statement Projection'!G36</f>
        <v>-0.12031097598614962</v>
      </c>
      <c r="H23" s="731">
        <f ca="1">('The 3-Statement Projection'!H39+'The 3-Statement Projection'!H45+'The 3-Statement Projection'!H46-'The 3-Statement Projection'!H67)/'The 3-Statement Projection'!H36</f>
        <v>-0.25181937493328249</v>
      </c>
      <c r="I23" s="731">
        <f ca="1">('The 3-Statement Projection'!I39+'The 3-Statement Projection'!I45+'The 3-Statement Projection'!I46-'The 3-Statement Projection'!I67)/'The 3-Statement Projection'!I36</f>
        <v>-0.35619216326270103</v>
      </c>
      <c r="J23" s="731">
        <f ca="1">('The 3-Statement Projection'!J39+'The 3-Statement Projection'!J45+'The 3-Statement Projection'!J46-'The 3-Statement Projection'!J67)/'The 3-Statement Projection'!J36</f>
        <v>-0.42863359877394802</v>
      </c>
      <c r="K23" s="731">
        <f ca="1">('The 3-Statement Projection'!K39+'The 3-Statement Projection'!K45+'The 3-Statement Projection'!K46-'The 3-Statement Projection'!K67)/'The 3-Statement Projection'!K36</f>
        <v>-0.48953962931466766</v>
      </c>
      <c r="L23" s="892">
        <v>2</v>
      </c>
    </row>
    <row r="24" spans="1:12" ht="6" customHeight="1" x14ac:dyDescent="0.3">
      <c r="A24" s="36"/>
      <c r="B24" s="36"/>
      <c r="C24" s="39"/>
      <c r="D24" s="39"/>
      <c r="E24" s="39"/>
      <c r="F24" s="39"/>
      <c r="G24" s="39"/>
      <c r="H24" s="39"/>
      <c r="I24" s="716"/>
      <c r="J24" s="716"/>
      <c r="K24" s="716"/>
    </row>
    <row r="25" spans="1:12" ht="22.05" customHeight="1" x14ac:dyDescent="0.3">
      <c r="A25" s="678" t="s">
        <v>1100</v>
      </c>
      <c r="B25" s="678"/>
      <c r="C25" s="734"/>
      <c r="D25" s="734"/>
      <c r="E25" s="734"/>
      <c r="F25" s="734"/>
      <c r="G25" s="734"/>
      <c r="H25" s="734"/>
      <c r="I25" s="734"/>
      <c r="J25" s="734"/>
      <c r="K25" s="734"/>
    </row>
    <row r="26" spans="1:12" ht="18" customHeight="1" x14ac:dyDescent="0.3">
      <c r="A26" s="36" t="s">
        <v>1101</v>
      </c>
      <c r="B26" s="36"/>
      <c r="C26" s="729" t="str">
        <f t="shared" ref="C26:K26" si="3">IF(C19&gt;=$L$19,"✓ OK","✗ BREACH")</f>
        <v>✓ OK</v>
      </c>
      <c r="D26" s="729" t="str">
        <f t="shared" ca="1" si="3"/>
        <v>✓ OK</v>
      </c>
      <c r="E26" s="729" t="str">
        <f t="shared" ca="1" si="3"/>
        <v>✓ OK</v>
      </c>
      <c r="F26" s="729" t="str">
        <f t="shared" ca="1" si="3"/>
        <v>✓ OK</v>
      </c>
      <c r="G26" s="729" t="str">
        <f t="shared" ca="1" si="3"/>
        <v>✓ OK</v>
      </c>
      <c r="H26" s="729" t="str">
        <f t="shared" ca="1" si="3"/>
        <v>✓ OK</v>
      </c>
      <c r="I26" s="729" t="str">
        <f t="shared" ca="1" si="3"/>
        <v>✓ OK</v>
      </c>
      <c r="J26" s="729" t="str">
        <f t="shared" ca="1" si="3"/>
        <v>✓ OK</v>
      </c>
      <c r="K26" s="729" t="str">
        <f t="shared" ca="1" si="3"/>
        <v>✓ OK</v>
      </c>
    </row>
    <row r="27" spans="1:12" ht="18" customHeight="1" x14ac:dyDescent="0.3">
      <c r="A27" s="36" t="s">
        <v>1102</v>
      </c>
      <c r="B27" s="36"/>
      <c r="C27" s="729" t="str">
        <f t="shared" ref="C27:K27" si="4">IF(C20&gt;=$L$20,"✓ OK","✗ BREACH")</f>
        <v>✓ OK</v>
      </c>
      <c r="D27" s="729" t="str">
        <f t="shared" ca="1" si="4"/>
        <v>✓ OK</v>
      </c>
      <c r="E27" s="729" t="str">
        <f t="shared" ca="1" si="4"/>
        <v>✓ OK</v>
      </c>
      <c r="F27" s="729" t="str">
        <f t="shared" ca="1" si="4"/>
        <v>✓ OK</v>
      </c>
      <c r="G27" s="729" t="str">
        <f t="shared" ca="1" si="4"/>
        <v>✓ OK</v>
      </c>
      <c r="H27" s="729" t="str">
        <f t="shared" ca="1" si="4"/>
        <v>✓ OK</v>
      </c>
      <c r="I27" s="729" t="str">
        <f t="shared" ca="1" si="4"/>
        <v>✓ OK</v>
      </c>
      <c r="J27" s="729" t="str">
        <f t="shared" ca="1" si="4"/>
        <v>✓ OK</v>
      </c>
      <c r="K27" s="729" t="str">
        <f t="shared" ca="1" si="4"/>
        <v>✓ OK</v>
      </c>
    </row>
    <row r="28" spans="1:12" ht="18" customHeight="1" x14ac:dyDescent="0.3">
      <c r="A28" s="36" t="s">
        <v>1103</v>
      </c>
      <c r="B28" s="36"/>
      <c r="C28" s="729" t="str">
        <f t="shared" ref="C28:K28" si="5">IF(C21&gt;=$L$21,"✓ OK","✗ BREACH")</f>
        <v>✓ OK</v>
      </c>
      <c r="D28" s="729" t="str">
        <f t="shared" si="5"/>
        <v>✓ OK</v>
      </c>
      <c r="E28" s="729" t="str">
        <f t="shared" si="5"/>
        <v>✓ OK</v>
      </c>
      <c r="F28" s="729" t="str">
        <f t="shared" si="5"/>
        <v>✓ OK</v>
      </c>
      <c r="G28" s="729" t="str">
        <f t="shared" si="5"/>
        <v>✓ OK</v>
      </c>
      <c r="H28" s="729" t="str">
        <f t="shared" si="5"/>
        <v>✓ OK</v>
      </c>
      <c r="I28" s="729" t="str">
        <f t="shared" si="5"/>
        <v>✓ OK</v>
      </c>
      <c r="J28" s="729" t="str">
        <f t="shared" si="5"/>
        <v>✓ OK</v>
      </c>
      <c r="K28" s="729" t="str">
        <f t="shared" si="5"/>
        <v>✓ OK</v>
      </c>
    </row>
    <row r="29" spans="1:12" ht="18" customHeight="1" x14ac:dyDescent="0.3">
      <c r="A29" s="36" t="s">
        <v>1104</v>
      </c>
      <c r="B29" s="36"/>
      <c r="C29" s="729" t="str">
        <f t="shared" ref="C29:K29" si="6">IF(C22&lt;=$L$22,"✓ OK","✗ BREACH")</f>
        <v>✓ OK</v>
      </c>
      <c r="D29" s="729" t="str">
        <f t="shared" ca="1" si="6"/>
        <v>✓ OK</v>
      </c>
      <c r="E29" s="729" t="str">
        <f t="shared" ca="1" si="6"/>
        <v>✓ OK</v>
      </c>
      <c r="F29" s="729" t="str">
        <f t="shared" ca="1" si="6"/>
        <v>✓ OK</v>
      </c>
      <c r="G29" s="729" t="str">
        <f t="shared" ca="1" si="6"/>
        <v>✓ OK</v>
      </c>
      <c r="H29" s="729" t="str">
        <f t="shared" ca="1" si="6"/>
        <v>✓ OK</v>
      </c>
      <c r="I29" s="729" t="str">
        <f t="shared" ca="1" si="6"/>
        <v>✓ OK</v>
      </c>
      <c r="J29" s="729" t="str">
        <f t="shared" ca="1" si="6"/>
        <v>✓ OK</v>
      </c>
      <c r="K29" s="729" t="str">
        <f t="shared" ca="1" si="6"/>
        <v>✓ OK</v>
      </c>
    </row>
    <row r="30" spans="1:12" ht="18" customHeight="1" x14ac:dyDescent="0.3">
      <c r="A30" s="36" t="s">
        <v>1105</v>
      </c>
      <c r="B30" s="36"/>
      <c r="C30" s="729" t="str">
        <f t="shared" ref="C30:K30" si="7">IF(C23&lt;=$L$23,"✓ OK","✗ BREACH")</f>
        <v>✓ OK</v>
      </c>
      <c r="D30" s="729" t="str">
        <f t="shared" ca="1" si="7"/>
        <v>✓ OK</v>
      </c>
      <c r="E30" s="729" t="str">
        <f t="shared" ca="1" si="7"/>
        <v>✓ OK</v>
      </c>
      <c r="F30" s="729" t="str">
        <f t="shared" ca="1" si="7"/>
        <v>✓ OK</v>
      </c>
      <c r="G30" s="729" t="str">
        <f t="shared" ca="1" si="7"/>
        <v>✓ OK</v>
      </c>
      <c r="H30" s="729" t="str">
        <f t="shared" ca="1" si="7"/>
        <v>✓ OK</v>
      </c>
      <c r="I30" s="729" t="str">
        <f t="shared" ca="1" si="7"/>
        <v>✓ OK</v>
      </c>
      <c r="J30" s="729" t="str">
        <f t="shared" ca="1" si="7"/>
        <v>✓ OK</v>
      </c>
      <c r="K30" s="729" t="str">
        <f t="shared" ca="1" si="7"/>
        <v>✓ OK</v>
      </c>
    </row>
  </sheetData>
  <mergeCells count="1">
    <mergeCell ref="A1:H1"/>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Navigation</vt:lpstr>
      <vt:lpstr>Model Checks</vt:lpstr>
      <vt:lpstr>Scenario Engine</vt:lpstr>
      <vt:lpstr>Dashboard</vt:lpstr>
      <vt:lpstr>Historical FS</vt:lpstr>
      <vt:lpstr>Ratio Analysis</vt:lpstr>
      <vt:lpstr>Common Size Statements</vt:lpstr>
      <vt:lpstr>Assumptions &amp; Drivers</vt:lpstr>
      <vt:lpstr>The 3-Statement Projection</vt:lpstr>
      <vt:lpstr>WACC &amp; DCF Valuation</vt:lpstr>
      <vt:lpstr>Sensitivity Analysis</vt:lpstr>
      <vt:lpstr>Comparable Company Analysis</vt:lpstr>
      <vt:lpstr>Financials&gt;</vt:lpstr>
      <vt:lpstr>Executive Summary</vt:lpstr>
      <vt:lpstr>Income and Expenditure Summary</vt:lpstr>
      <vt:lpstr>Balance Sheet Summary</vt:lpstr>
      <vt:lpstr>Cash Flow Summary</vt:lpstr>
      <vt:lpstr>Production &amp; Offtake</vt:lpstr>
      <vt:lpstr>Depreciation Schedule</vt:lpstr>
      <vt:lpstr>Tax Working</vt:lpstr>
      <vt:lpstr>Debt Schedule</vt:lpstr>
      <vt:lpstr>Repayment Schedule</vt:lpstr>
      <vt:lpstr>Working Capital Schedule</vt:lpstr>
      <vt:lpstr>DSCR Covenant Tracker</vt:lpstr>
      <vt:lpstr>'Assumptions &amp; Drivers'!Print_Area</vt:lpstr>
      <vt:lpstr>'The 3-Statement Projection'!Print_Area</vt:lpstr>
      <vt:lpstr>'WACC &amp; DCF Valuation'!Print_Area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Divyanshu  Vatsa</cp:lastModifiedBy>
  <cp:revision>5</cp:revision>
  <dcterms:created xsi:type="dcterms:W3CDTF">2026-04-22T09:13:24Z</dcterms:created>
  <dcterms:modified xsi:type="dcterms:W3CDTF">2026-05-29T10:14:30Z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0x0101004CEEDBC0427C634C8952202795BFF718</vt:lpwstr>
  </property>
</Properties>
</file>